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:\My Drive\HR Development\Software &amp; Development\Course Selling\10MS Updated Files\"/>
    </mc:Choice>
  </mc:AlternateContent>
  <xr:revisionPtr revIDLastSave="0" documentId="13_ncr:1_{D337DF0F-BE1A-4EB2-BB3A-09DA0F9C1B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0MS Course Directory" sheetId="1" r:id="rId1"/>
    <sheet name="Learning Bangladesh Directory" sheetId="2" r:id="rId2"/>
    <sheet name="MSB Academy Directory" sheetId="3" r:id="rId3"/>
    <sheet name="Bohubrihi Directory" sheetId="4" r:id="rId4"/>
    <sheet name="Ostad Directory" sheetId="5" r:id="rId5"/>
    <sheet name="Shikho Directo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gSISYgA/yZ82TZIeYsbqZS5VN2e0yt4OwopGs/EaILk="/>
    </ext>
  </extLst>
</workbook>
</file>

<file path=xl/calcChain.xml><?xml version="1.0" encoding="utf-8"?>
<calcChain xmlns="http://schemas.openxmlformats.org/spreadsheetml/2006/main">
  <c r="E16" i="6" l="1"/>
  <c r="G16" i="6" s="1"/>
  <c r="E15" i="6"/>
  <c r="G15" i="6" s="1"/>
  <c r="E14" i="6"/>
  <c r="G14" i="6" s="1"/>
  <c r="E13" i="6"/>
  <c r="G13" i="6" s="1"/>
  <c r="E12" i="6"/>
  <c r="G12" i="6" s="1"/>
  <c r="E11" i="6"/>
  <c r="G11" i="6" s="1"/>
  <c r="G10" i="6"/>
  <c r="E10" i="6"/>
  <c r="G9" i="6"/>
  <c r="E9" i="6"/>
  <c r="G8" i="6"/>
  <c r="E8" i="6"/>
  <c r="G7" i="6"/>
  <c r="E7" i="6"/>
  <c r="G6" i="6"/>
  <c r="E6" i="6"/>
  <c r="G5" i="6"/>
  <c r="E5" i="6"/>
  <c r="G4" i="6"/>
  <c r="E4" i="6"/>
  <c r="G3" i="6"/>
  <c r="E3" i="6"/>
  <c r="G2" i="6"/>
  <c r="E2" i="6"/>
  <c r="G16" i="5"/>
  <c r="E16" i="5"/>
  <c r="G15" i="5"/>
  <c r="E15" i="5"/>
  <c r="G14" i="5"/>
  <c r="E14" i="5"/>
  <c r="G13" i="5"/>
  <c r="E13" i="5"/>
  <c r="G12" i="5"/>
  <c r="E12" i="5"/>
  <c r="G11" i="5"/>
  <c r="E11" i="5"/>
  <c r="G10" i="5"/>
  <c r="E10" i="5"/>
  <c r="G9" i="5"/>
  <c r="E9" i="5"/>
  <c r="G8" i="5"/>
  <c r="E8" i="5"/>
  <c r="G7" i="5"/>
  <c r="E7" i="5"/>
  <c r="G6" i="5"/>
  <c r="E6" i="5"/>
  <c r="G5" i="5"/>
  <c r="E5" i="5"/>
  <c r="G4" i="5"/>
  <c r="E4" i="5"/>
  <c r="G3" i="5"/>
  <c r="E3" i="5"/>
  <c r="G2" i="5"/>
  <c r="E2" i="5"/>
  <c r="G16" i="4"/>
  <c r="E16" i="4"/>
  <c r="G15" i="4"/>
  <c r="E15" i="4"/>
  <c r="G14" i="4"/>
  <c r="E14" i="4"/>
  <c r="G13" i="4"/>
  <c r="E13" i="4"/>
  <c r="G12" i="4"/>
  <c r="E12" i="4"/>
  <c r="G11" i="4"/>
  <c r="E11" i="4"/>
  <c r="G10" i="4"/>
  <c r="E10" i="4"/>
  <c r="G9" i="4"/>
  <c r="E9" i="4"/>
  <c r="G8" i="4"/>
  <c r="E8" i="4"/>
  <c r="G7" i="4"/>
  <c r="E7" i="4"/>
  <c r="G6" i="4"/>
  <c r="E6" i="4"/>
  <c r="G5" i="4"/>
  <c r="E5" i="4"/>
  <c r="G4" i="4"/>
  <c r="E4" i="4"/>
  <c r="G3" i="4"/>
  <c r="E3" i="4"/>
  <c r="G2" i="4"/>
  <c r="E2" i="4"/>
  <c r="G17" i="3"/>
  <c r="E17" i="3"/>
  <c r="G16" i="3"/>
  <c r="E16" i="3"/>
  <c r="G15" i="3"/>
  <c r="E15" i="3"/>
  <c r="G14" i="3"/>
  <c r="E14" i="3"/>
  <c r="G13" i="3"/>
  <c r="E13" i="3"/>
  <c r="G12" i="3"/>
  <c r="E12" i="3"/>
  <c r="G11" i="3"/>
  <c r="E11" i="3"/>
  <c r="G10" i="3"/>
  <c r="E10" i="3"/>
  <c r="G9" i="3"/>
  <c r="E9" i="3"/>
  <c r="G8" i="3"/>
  <c r="E8" i="3"/>
  <c r="G7" i="3"/>
  <c r="E7" i="3"/>
  <c r="G6" i="3"/>
  <c r="E6" i="3"/>
  <c r="G5" i="3"/>
  <c r="E5" i="3"/>
  <c r="G4" i="3"/>
  <c r="E4" i="3"/>
  <c r="G3" i="3"/>
  <c r="E3" i="3"/>
  <c r="G2" i="3"/>
  <c r="E2" i="3"/>
  <c r="G16" i="2"/>
  <c r="E16" i="2"/>
  <c r="G15" i="2"/>
  <c r="E15" i="2"/>
  <c r="G14" i="2"/>
  <c r="E14" i="2"/>
  <c r="G13" i="2"/>
  <c r="E13" i="2"/>
  <c r="G12" i="2"/>
  <c r="E12" i="2"/>
  <c r="G11" i="2"/>
  <c r="E11" i="2"/>
  <c r="G10" i="2"/>
  <c r="E10" i="2"/>
  <c r="G9" i="2"/>
  <c r="E9" i="2"/>
  <c r="G8" i="2"/>
  <c r="E8" i="2"/>
  <c r="G7" i="2"/>
  <c r="E7" i="2"/>
  <c r="G6" i="2"/>
  <c r="E6" i="2"/>
  <c r="G5" i="2"/>
  <c r="E5" i="2"/>
  <c r="G4" i="2"/>
  <c r="E4" i="2"/>
  <c r="G3" i="2"/>
  <c r="E3" i="2"/>
  <c r="G2" i="2"/>
  <c r="E2" i="2"/>
  <c r="E157" i="1"/>
  <c r="G157" i="1" s="1"/>
  <c r="E156" i="1"/>
  <c r="G156" i="1" s="1"/>
  <c r="E155" i="1"/>
  <c r="G155" i="1" s="1"/>
  <c r="E154" i="1"/>
  <c r="G154" i="1" s="1"/>
  <c r="E153" i="1"/>
  <c r="G153" i="1" s="1"/>
  <c r="E152" i="1"/>
  <c r="G152" i="1" s="1"/>
  <c r="E151" i="1"/>
  <c r="G151" i="1" s="1"/>
  <c r="E150" i="1"/>
  <c r="G150" i="1" s="1"/>
  <c r="E149" i="1"/>
  <c r="G149" i="1" s="1"/>
  <c r="E148" i="1"/>
  <c r="G148" i="1" s="1"/>
  <c r="E147" i="1"/>
  <c r="G147" i="1" s="1"/>
  <c r="E146" i="1"/>
  <c r="G146" i="1" s="1"/>
  <c r="E145" i="1"/>
  <c r="G145" i="1" s="1"/>
  <c r="E144" i="1"/>
  <c r="G144" i="1" s="1"/>
  <c r="E143" i="1"/>
  <c r="G143" i="1" s="1"/>
  <c r="E142" i="1"/>
  <c r="G142" i="1" s="1"/>
  <c r="E141" i="1"/>
  <c r="G141" i="1" s="1"/>
  <c r="E140" i="1"/>
  <c r="G140" i="1" s="1"/>
  <c r="E139" i="1"/>
  <c r="G139" i="1" s="1"/>
  <c r="E138" i="1"/>
  <c r="G138" i="1" s="1"/>
  <c r="E137" i="1"/>
  <c r="G137" i="1" s="1"/>
  <c r="E136" i="1"/>
  <c r="G136" i="1" s="1"/>
  <c r="E135" i="1"/>
  <c r="G135" i="1" s="1"/>
  <c r="E133" i="1"/>
  <c r="G133" i="1" s="1"/>
  <c r="E132" i="1"/>
  <c r="G132" i="1" s="1"/>
  <c r="E131" i="1"/>
  <c r="G131" i="1" s="1"/>
  <c r="E130" i="1"/>
  <c r="G130" i="1" s="1"/>
  <c r="E129" i="1"/>
  <c r="G129" i="1" s="1"/>
  <c r="E128" i="1"/>
  <c r="G128" i="1" s="1"/>
  <c r="E127" i="1"/>
  <c r="G127" i="1" s="1"/>
  <c r="E126" i="1"/>
  <c r="G126" i="1" s="1"/>
  <c r="E125" i="1"/>
  <c r="G125" i="1" s="1"/>
  <c r="E124" i="1"/>
  <c r="G124" i="1" s="1"/>
  <c r="E122" i="1"/>
  <c r="G122" i="1" s="1"/>
  <c r="E121" i="1"/>
  <c r="G121" i="1" s="1"/>
  <c r="E120" i="1"/>
  <c r="G120" i="1" s="1"/>
  <c r="E119" i="1"/>
  <c r="G119" i="1" s="1"/>
  <c r="E118" i="1"/>
  <c r="G118" i="1" s="1"/>
  <c r="E117" i="1"/>
  <c r="G117" i="1" s="1"/>
  <c r="E116" i="1"/>
  <c r="G116" i="1" s="1"/>
  <c r="E115" i="1"/>
  <c r="G115" i="1" s="1"/>
  <c r="E114" i="1"/>
  <c r="G114" i="1" s="1"/>
  <c r="E113" i="1"/>
  <c r="G113" i="1" s="1"/>
  <c r="E112" i="1"/>
  <c r="G112" i="1" s="1"/>
  <c r="E111" i="1"/>
  <c r="G111" i="1" s="1"/>
  <c r="E110" i="1"/>
  <c r="G110" i="1" s="1"/>
  <c r="E109" i="1"/>
  <c r="G109" i="1" s="1"/>
  <c r="E108" i="1"/>
  <c r="G108" i="1" s="1"/>
  <c r="E105" i="1"/>
  <c r="G105" i="1" s="1"/>
  <c r="E104" i="1"/>
  <c r="G104" i="1" s="1"/>
  <c r="E103" i="1"/>
  <c r="G103" i="1" s="1"/>
  <c r="E102" i="1"/>
  <c r="G102" i="1" s="1"/>
  <c r="E101" i="1"/>
  <c r="G101" i="1" s="1"/>
  <c r="E100" i="1"/>
  <c r="G100" i="1" s="1"/>
  <c r="E99" i="1"/>
  <c r="G99" i="1" s="1"/>
  <c r="E98" i="1"/>
  <c r="G98" i="1" s="1"/>
  <c r="E97" i="1"/>
  <c r="G97" i="1" s="1"/>
  <c r="E96" i="1"/>
  <c r="G96" i="1" s="1"/>
  <c r="E95" i="1"/>
  <c r="G95" i="1" s="1"/>
  <c r="E94" i="1"/>
  <c r="G94" i="1" s="1"/>
  <c r="E93" i="1"/>
  <c r="G93" i="1" s="1"/>
  <c r="E92" i="1"/>
  <c r="G92" i="1" s="1"/>
  <c r="E91" i="1"/>
  <c r="G91" i="1" s="1"/>
  <c r="E90" i="1"/>
  <c r="G90" i="1" s="1"/>
  <c r="E24" i="1"/>
  <c r="G24" i="1" s="1"/>
  <c r="E23" i="1"/>
  <c r="G23" i="1" s="1"/>
  <c r="E22" i="1"/>
  <c r="G22" i="1" s="1"/>
  <c r="E21" i="1"/>
  <c r="G21" i="1" s="1"/>
  <c r="E20" i="1"/>
  <c r="G20" i="1" s="1"/>
  <c r="E19" i="1"/>
  <c r="G19" i="1" s="1"/>
  <c r="E18" i="1"/>
  <c r="G18" i="1" s="1"/>
  <c r="E17" i="1"/>
  <c r="G17" i="1" s="1"/>
  <c r="E14" i="1"/>
  <c r="G14" i="1" s="1"/>
  <c r="E13" i="1"/>
  <c r="G13" i="1" s="1"/>
  <c r="E12" i="1"/>
  <c r="G12" i="1" s="1"/>
  <c r="E11" i="1"/>
  <c r="G11" i="1" s="1"/>
  <c r="E10" i="1"/>
  <c r="G10" i="1" s="1"/>
  <c r="E9" i="1"/>
  <c r="G9" i="1" s="1"/>
  <c r="E8" i="1"/>
  <c r="G8" i="1" s="1"/>
  <c r="E7" i="1"/>
  <c r="G7" i="1" s="1"/>
  <c r="E6" i="1"/>
  <c r="G6" i="1" s="1"/>
  <c r="E5" i="1"/>
  <c r="G5" i="1" s="1"/>
  <c r="E4" i="1"/>
  <c r="G4" i="1" s="1"/>
  <c r="E2" i="1"/>
  <c r="G2" i="1" s="1"/>
</calcChain>
</file>

<file path=xl/sharedStrings.xml><?xml version="1.0" encoding="utf-8"?>
<sst xmlns="http://schemas.openxmlformats.org/spreadsheetml/2006/main" count="679" uniqueCount="410">
  <si>
    <t>Category</t>
  </si>
  <si>
    <t>Course Name</t>
  </si>
  <si>
    <t>Discount Price (BDT)</t>
  </si>
  <si>
    <t>Promo Code</t>
  </si>
  <si>
    <t>Commission (15%) (BDT)</t>
  </si>
  <si>
    <t>Suggested Cashback (BDT)</t>
  </si>
  <si>
    <t>Net Profit (BDT)</t>
  </si>
  <si>
    <t>Promo Link (Affiliate Link)</t>
  </si>
  <si>
    <t>Commission (25%) (BDT)</t>
  </si>
  <si>
    <t>Academic: Online Batch (Class 6-10)</t>
  </si>
  <si>
    <t>Commission (20%) (BDT)</t>
  </si>
  <si>
    <t>ষষ্ঠ - অষ্টম শ্রেণি অনলাইন ব্যাচ (১ মাস)</t>
  </si>
  <si>
    <t>Marketing</t>
  </si>
  <si>
    <t>Accounts &amp; Finance</t>
  </si>
  <si>
    <t>Content Creation &amp; Passive Income with AI</t>
  </si>
  <si>
    <t>Advanced Tally ERP &amp; QuickBooks</t>
  </si>
  <si>
    <t>Direct Link</t>
  </si>
  <si>
    <t>অষ্টম শ্রেণি - বার্ষিক ও বৃত্তি পরীক্ষা প্রস্তুতি ২০২৬</t>
  </si>
  <si>
    <t xml:space="preserve">৳5350৳13000
 </t>
  </si>
  <si>
    <t>oppbpp26</t>
  </si>
  <si>
    <t>https://10ms.io/OKlRn6</t>
  </si>
  <si>
    <t>Engineering &amp; Tech</t>
  </si>
  <si>
    <t>ষষ্ঠ - অষ্টম শ্রেণি অনলাইন ব্যাচ (সম্পূর্ণ বছর)</t>
  </si>
  <si>
    <t>Tech</t>
  </si>
  <si>
    <t>Cyber Security &amp; Ethical Hacking</t>
  </si>
  <si>
    <t>Claude AI Masterclass</t>
  </si>
  <si>
    <t>Financial Modeling using Excel</t>
  </si>
  <si>
    <t>Partner Link</t>
  </si>
  <si>
    <t>Creative &amp; Design</t>
  </si>
  <si>
    <t>Adobe 4 in 1 Bundle</t>
  </si>
  <si>
    <t>SK2500</t>
  </si>
  <si>
    <t>Creative</t>
  </si>
  <si>
    <t>Higgsfield AI Cinematic Video Production</t>
  </si>
  <si>
    <t>SEO &amp; Keyword Research</t>
  </si>
  <si>
    <t>ষষ্ঠ - অষ্টম শ্রেণি অনলাইন ব্যাচ (অর্ধ বার্ষিক পরীক্ষা প্রস্তুতি)</t>
  </si>
  <si>
    <t>emailmkt</t>
  </si>
  <si>
    <t>ChatGPT AI Design &amp; Copywriting</t>
  </si>
  <si>
    <t>নবম শ্রেণি - অনলাইন ব্যাচ ২০২৬ [বিজ্ঞান বিভাগ - সম্পূর্ণ বছর + BEI]</t>
  </si>
  <si>
    <t>YouTube Marketing &amp; SEO Course</t>
  </si>
  <si>
    <t>youtubemktaff</t>
  </si>
  <si>
    <t>নবম শ্রেণি - অনলাইন ব্যাচ ২০২৬ [বিজ্ঞান বিভাগ - সম্পূর্ণ বছর]</t>
  </si>
  <si>
    <t>AI Driven Facebook Ads Mastery</t>
  </si>
  <si>
    <t>Web Design with WordPress</t>
  </si>
  <si>
    <t>wordpressaff</t>
  </si>
  <si>
    <t>নবম শ্রেণি - অনলাইন ব্যাচ ২০২৬ [বিজ্ঞান বিভাগ - অর্ধ বার্ষিক]</t>
  </si>
  <si>
    <t>Python Programming for Beginners</t>
  </si>
  <si>
    <t>নবম শ্রেণি - অনলাইন ব্যাচ ২০২৬ [ব্যবসায় শিক্ষা বিভাগ - সম্পূর্ণ বছর]</t>
  </si>
  <si>
    <t>Soft Skills</t>
  </si>
  <si>
    <t>LinkedIn for Everyone &amp; Automating Network</t>
  </si>
  <si>
    <t>Advanced Excel for Accounts &amp; Finance</t>
  </si>
  <si>
    <t>নবম শ্রেণি - বাংলা, ইংরেজি ও আইসিটি (BEI) অনলাইন ব্যাচ</t>
  </si>
  <si>
    <t>HSC27FAGE</t>
  </si>
  <si>
    <t>Django &amp; Python Web Development</t>
  </si>
  <si>
    <t>দশম শ্রেণি - অনলাইন ব্যাচ [বিজ্ঞান বিভাগ + BEI]</t>
  </si>
  <si>
    <t>Professional Video Editing with Premiere</t>
  </si>
  <si>
    <t>Excel for Business &amp; Data Analysis</t>
  </si>
  <si>
    <t>দশম শ্রেণি - অনলাইন ব্যাচ [বিজ্ঞান বিভাগ]</t>
  </si>
  <si>
    <t>Basic Computer Hardware &amp; Net.</t>
  </si>
  <si>
    <t>Project Management Professional (PMP) Prep</t>
  </si>
  <si>
    <t>দশম শ্রেণি - বাংলা, ইংরেজি ও আইসিটি (BEI) অনলাইন ব্যাচ</t>
  </si>
  <si>
    <t>Graphic Design for Marketers (Canva)</t>
  </si>
  <si>
    <t>SSC 28 পূর্ণাঙ্গ প্রস্তুতি (Class 9-10 Complete)</t>
  </si>
  <si>
    <t>Python for Data Science &amp; Machine Learning</t>
  </si>
  <si>
    <t>Amazon Affiliate Marketing</t>
  </si>
  <si>
    <t xml:space="preserve">SSC 27 বিজ্ঞান বিভাগ + BEI + SMP </t>
  </si>
  <si>
    <t>(মূল্য: ৳13,000)</t>
  </si>
  <si>
    <t>UI/UX Design Masterclass</t>
  </si>
  <si>
    <t>ssc27beismp</t>
  </si>
  <si>
    <t>52-week Guidelines for Side-Business</t>
  </si>
  <si>
    <t>https://10ms.io/RKlRqu</t>
  </si>
  <si>
    <t>Digital Marketing Masterclass</t>
  </si>
  <si>
    <t>Affiliate Marketing Mastery</t>
  </si>
  <si>
    <t>SSC 27 অনলাইন ব্যাচ + শেষ মুহূর্তের প্রস্তুতি [বিজ্ঞান বিভাগ]</t>
  </si>
  <si>
    <t>মাসিক বেতন ৳১০০০ থেকে শুরু</t>
  </si>
  <si>
    <t>Digital Product Management</t>
  </si>
  <si>
    <t>Academic: SSC Prep</t>
  </si>
  <si>
    <t>AI Tools for NGO &amp; Corporate Pros</t>
  </si>
  <si>
    <t>Linux System Administration</t>
  </si>
  <si>
    <t>E-commerce with WooCommerce</t>
  </si>
  <si>
    <t>SSC 27 শেষ মুহূর্তের প্রস্তুতি কোর্স [বিজ্ঞান বিভাগ]</t>
  </si>
  <si>
    <t>eBook Business with AI</t>
  </si>
  <si>
    <t>Data Structures &amp; Algorithms in Java</t>
  </si>
  <si>
    <t>ssc27smp</t>
  </si>
  <si>
    <t>Lead Generation for B2B Sales</t>
  </si>
  <si>
    <t>Corporate Finance Fundamentals</t>
  </si>
  <si>
    <t>Python for Beginners</t>
  </si>
  <si>
    <t>Graphics Design with Adobe Illus.</t>
  </si>
  <si>
    <t>Digital Marketing Fundamentals</t>
  </si>
  <si>
    <t>3D Modeling with Blender</t>
  </si>
  <si>
    <t>Photoshop Mastery Course</t>
  </si>
  <si>
    <t>https://10ms.io/3KlR9t</t>
  </si>
  <si>
    <t>Email Marketing &amp; Automation</t>
  </si>
  <si>
    <t>Financial Analyst Course</t>
  </si>
  <si>
    <t>Tally Prime Basic to Advanced</t>
  </si>
  <si>
    <t>Microsoft Excel for Professionals</t>
  </si>
  <si>
    <t>Art of Job Searching</t>
  </si>
  <si>
    <t>-</t>
  </si>
  <si>
    <t>Public Speaking &amp; Presentation Masterclass</t>
  </si>
  <si>
    <t>SSC 27 শেষ মুহূর্তের প্রস্তুতি কোর্স [ব্যবসায় শিক্ষা বিভাগ]</t>
  </si>
  <si>
    <t>https://10ms.io/RKlRXg</t>
  </si>
  <si>
    <t>SSC 27 শেষ মুহূর্তের প্রস্তুতি কোর্স [মানবিক বিভাগ]</t>
  </si>
  <si>
    <t>https://10ms.io/nKlRJn</t>
  </si>
  <si>
    <t>SSC 27 শেষ মুহূর্তের প্রস্তুতি BEIM কোর্স [বাংলা, ইংরেজি, ICT, সা.গণিত]</t>
  </si>
  <si>
    <t>27smpbei</t>
  </si>
  <si>
    <t>SSC 26 শেষ মুহূর্তের প্রস্তুতি কোর্স [বিজ্ঞান বিভাগ Bundle]</t>
  </si>
  <si>
    <t>Smp26science</t>
  </si>
  <si>
    <t>https://10ms.io/cKXqKZ</t>
  </si>
  <si>
    <t>SSC 26 শেষ মুহূর্তের প্রস্তুতি কোর্স [ব্যবসায় শিক্ষা বিভাগ Bundle]</t>
  </si>
  <si>
    <t>Smp26artbusiness</t>
  </si>
  <si>
    <t>https://10ms.io/pKXqSa</t>
  </si>
  <si>
    <t>SSC 26 শেষ মুহূর্তের প্রস্তুতি কোর্স [মানবিক বিভাগ Bundle]</t>
  </si>
  <si>
    <t>https://10ms.io/BKXqGX</t>
  </si>
  <si>
    <t>SSC টেস্ট পেপার সলভ কোর্স (Physics, Chemistry, Biology, Higher Math)</t>
  </si>
  <si>
    <t>AFF10SSTPP</t>
  </si>
  <si>
    <t>Academic: HSC 27 Prep</t>
  </si>
  <si>
    <t>HSC 27 PCMB (Cycle 1-4) + BEI Bundle</t>
  </si>
  <si>
    <t>hsc27bundle</t>
  </si>
  <si>
    <t>HSC 27 PCMB (Cycle 1-4) Online Batch</t>
  </si>
  <si>
    <t>hsc27pcmb4</t>
  </si>
  <si>
    <t>HSC 27 PCMB (Cycle 1-3) Online Batch</t>
  </si>
  <si>
    <t>hsc27cyc3</t>
  </si>
  <si>
    <t>HSC 27 PCMB Cycle 1-4 (১ম + ২য় পত্র)</t>
  </si>
  <si>
    <t>hsc27cyc4</t>
  </si>
  <si>
    <t>HSC 27 PCMB Cycle 1-2 (১ম ও ২য় পত্রের নির্দিষ্ট অধ্যায়)</t>
  </si>
  <si>
    <t>hsc27cyc2</t>
  </si>
  <si>
    <t>HSC 27 PCMB Cycle 1 (শুধু ১ম পত্রের নির্বাচিত অধ্যায়)</t>
  </si>
  <si>
    <t>hsc27cyc1</t>
  </si>
  <si>
    <t>HSC 27 BEI 2.0 (বাংলা, ইংরেজি, তথ্য ও যোগাযোগ প্রযুক্তি)</t>
  </si>
  <si>
    <t>hsc27bei2</t>
  </si>
  <si>
    <t>https://10ms.io/JHPjXP</t>
  </si>
  <si>
    <t>HSC 27 BEI Individual Subjects 2.0 (সম্পূর্ণ সিলেবাস)</t>
  </si>
  <si>
    <t>hSC27b2</t>
  </si>
  <si>
    <t>HSC 27 বাংলা (ব্যাচ ১ - সম্পূর্ণ সিলেবাস)</t>
  </si>
  <si>
    <t>HSC27B1</t>
  </si>
  <si>
    <t>HSC 27 ইংরেজি (ব্যাচ ১ - সম্পূর্ণ সিলেবাস)</t>
  </si>
  <si>
    <t>HSC 27 ICT (ব্যাচ ১ - সম্পূর্ণ সিলেবাস)</t>
  </si>
  <si>
    <t>HSC 27 ফাইন্যান্স ও অ্যাকাউন্টিং কমপ্লিট প্যাকেজ</t>
  </si>
  <si>
    <t>HSC27BUSB</t>
  </si>
  <si>
    <t>https://10ms.io/tKZ8t7</t>
  </si>
  <si>
    <t>HSC 27 জিওগ্রাফি ও ইকোনমিক্স কমপ্লিট প্যাকেজ</t>
  </si>
  <si>
    <t>HSC27ARTSB</t>
  </si>
  <si>
    <t>https://10ms.io/7KZ8ew</t>
  </si>
  <si>
    <t>HSC 27 ফাইন্যান্স ও অ্যাকাউন্টিং + BEI প্যাকেজ</t>
  </si>
  <si>
    <t>BUSHSC27BEI</t>
  </si>
  <si>
    <t>https://10ms.io/GKZ8pe</t>
  </si>
  <si>
    <t>HSC 27 জিওগ্রাফি ও ইকোনমিক্স + BEI প্যাকেজ</t>
  </si>
  <si>
    <t>ARTSHSC27BEI</t>
  </si>
  <si>
    <t>https://10ms.io/cHPjFx</t>
  </si>
  <si>
    <t>HSC 27 জিওগ্রাফি</t>
  </si>
  <si>
    <t>Commission (30%) (BDT)</t>
  </si>
  <si>
    <t>ভার্সিটি A Unit + গুচ্ছ এডমিশন কোর্স - ২০২৬</t>
  </si>
  <si>
    <t>AutoCAD 2D &amp; 3D Live Course</t>
  </si>
  <si>
    <t>Ostad Icon Link</t>
  </si>
  <si>
    <t>ভার্সিটি B Unit + গুচ্ছ এডমিশন কোর্স - ২০২৬</t>
  </si>
  <si>
    <t>ভার্সিটি C Unit + গুচ্ছ এডমিশন কোর্স - ২০২৬</t>
  </si>
  <si>
    <t>Academic</t>
  </si>
  <si>
    <t>Varsity A Unit Admission Course</t>
  </si>
  <si>
    <t>Corporate Tax &amp; VAT Management</t>
  </si>
  <si>
    <t>MERN Stack Web Development Bootcamp</t>
  </si>
  <si>
    <t>BUET Engineering Admission Prep</t>
  </si>
  <si>
    <t>Medical Admission Prep Live</t>
  </si>
  <si>
    <t>App Development with Flutter</t>
  </si>
  <si>
    <t>Language</t>
  </si>
  <si>
    <t>IELTS Complete Prep Course</t>
  </si>
  <si>
    <t>Software Quality Assurance (SQE)</t>
  </si>
  <si>
    <t>English Language Courses</t>
  </si>
  <si>
    <t>English Spoken Course for Adults</t>
  </si>
  <si>
    <t>ঘরে বসে Spoken English (Munzereen Shahid)</t>
  </si>
  <si>
    <t>Meta Ads Manager &amp; Facebook Pixel Bootcamp</t>
  </si>
  <si>
    <t>Class 6-10 Recorded Science Batch</t>
  </si>
  <si>
    <t>affgbse1690</t>
  </si>
  <si>
    <t>Java &amp; Spring Boot Development</t>
  </si>
  <si>
    <t>SSC Exam GPA-5 Revision Batch</t>
  </si>
  <si>
    <t>https://10ms.io/6HUFWk</t>
  </si>
  <si>
    <t>DevOps &amp; Kubernetes Live Bootcamp</t>
  </si>
  <si>
    <t>IELTS Course by Munzereen Shahid</t>
  </si>
  <si>
    <t>IELTS3600</t>
  </si>
  <si>
    <t>HSC Physics 1st &amp; 2nd Paper Prep</t>
  </si>
  <si>
    <t>https://10ms.io/xHUGfm</t>
  </si>
  <si>
    <t>Full-Stack Web Dev with PHP &amp; Laravel</t>
  </si>
  <si>
    <t>HSC Chemistry 1st &amp; 2nd Paper Prep</t>
  </si>
  <si>
    <t>HSC Math 1st &amp; 2nd Paper Prep</t>
  </si>
  <si>
    <t>Language Prep</t>
  </si>
  <si>
    <t>English Grammar for Job Exams</t>
  </si>
  <si>
    <t>Varsity B Unit Admission Course</t>
  </si>
  <si>
    <t>IELTS Live Batch</t>
  </si>
  <si>
    <t>ieltslive</t>
  </si>
  <si>
    <t>Creative Writing Course</t>
  </si>
  <si>
    <t>Varsity C Unit Admission Course</t>
  </si>
  <si>
    <t>https://10ms.io/nHUGo1</t>
  </si>
  <si>
    <t>AI Tools for Freelancing</t>
  </si>
  <si>
    <t>Web Development with Python &amp; Django</t>
  </si>
  <si>
    <t>Bank Jobs Special Prep Batch</t>
  </si>
  <si>
    <t>Basic Microsoft Office Suite</t>
  </si>
  <si>
    <t>Spoken English Junior LIVE Batch</t>
  </si>
  <si>
    <t>sejonlineaff</t>
  </si>
  <si>
    <t>Full Stack Digital Marketing Live</t>
  </si>
  <si>
    <t>Class 11-12 Recorded Science Batch</t>
  </si>
  <si>
    <t>https://10ms.io/DKZbW2</t>
  </si>
  <si>
    <t>Data Science &amp; ML (Python)</t>
  </si>
  <si>
    <t>Spoken English for Kids</t>
  </si>
  <si>
    <t>KIDS1950</t>
  </si>
  <si>
    <t>https://10ms.io/7HUFOq</t>
  </si>
  <si>
    <t>English Communication for Professionals</t>
  </si>
  <si>
    <t>EFP200</t>
  </si>
  <si>
    <t>https://10ms.io/LHUFRL</t>
  </si>
  <si>
    <t>Complete English Grammar Course</t>
  </si>
  <si>
    <t>englishgrammar</t>
  </si>
  <si>
    <t>https://10ms.io/ZHUFb4</t>
  </si>
  <si>
    <t>English Grammar Crash Course</t>
  </si>
  <si>
    <t>EGCC1050</t>
  </si>
  <si>
    <t>https://10ms.io/QHUFMB</t>
  </si>
  <si>
    <t>English Writing for Students</t>
  </si>
  <si>
    <t>AFFEWS10</t>
  </si>
  <si>
    <t>https://10ms.io/THUF3O</t>
  </si>
  <si>
    <t>Sobar Jonno Vocabulary / সবার জন্য Vocabulary</t>
  </si>
  <si>
    <t>SJV10AFF</t>
  </si>
  <si>
    <t>https://10ms.io/FHUGzD</t>
  </si>
  <si>
    <t>IELTS Reading &amp; Listening Mock Tests</t>
  </si>
  <si>
    <t>MOCK1275</t>
  </si>
  <si>
    <t>https://10ms.io/KKZbPw</t>
  </si>
  <si>
    <t>Spoken + Grammar Bundle</t>
  </si>
  <si>
    <t>spokenbundle</t>
  </si>
  <si>
    <t>https://10ms.io/OHUFcG</t>
  </si>
  <si>
    <t>Beginner's English Bundle</t>
  </si>
  <si>
    <t>engbeg</t>
  </si>
  <si>
    <t>https://10ms.io/KHUFzt</t>
  </si>
  <si>
    <t>English Master Bundle</t>
  </si>
  <si>
    <t>AFFEMB10</t>
  </si>
  <si>
    <t>https://10ms.io/XHUFAK</t>
  </si>
  <si>
    <t>Complete Professional Communication Bundle</t>
  </si>
  <si>
    <t>https://10ms.io/VHUFLE</t>
  </si>
  <si>
    <t>Skills &amp; Freelancing</t>
  </si>
  <si>
    <t>Video Editing with Premiere Pro</t>
  </si>
  <si>
    <t>videoediting1050</t>
  </si>
  <si>
    <t>https://10ms.io/jKZnvf</t>
  </si>
  <si>
    <t>Adobe 4 in 1 Bundle (Photoshop, Illustrator, Premiere Pro, After Effects)</t>
  </si>
  <si>
    <t>Graphic Designing with Photoshop</t>
  </si>
  <si>
    <t>AFFGDP10</t>
  </si>
  <si>
    <t>https://10ms.io/NKZnQS</t>
  </si>
  <si>
    <t>Graphic Designing with PowerPoint</t>
  </si>
  <si>
    <t>AFFGDWP10</t>
  </si>
  <si>
    <t>Cartoon Animation</t>
  </si>
  <si>
    <t>AFFCA10</t>
  </si>
  <si>
    <t>Video Making &amp; Content Creation</t>
  </si>
  <si>
    <t>SK1125</t>
  </si>
  <si>
    <t>https://10ms.io/mKZnIQ</t>
  </si>
  <si>
    <t>Content Creation Bundle</t>
  </si>
  <si>
    <t>SK1600</t>
  </si>
  <si>
    <r>
      <rPr>
        <u/>
        <sz val="10"/>
        <color rgb="FF1155CC"/>
        <rFont val="Quattrocento Sans"/>
      </rPr>
      <t>https://10ms.io/eHUGRt</t>
    </r>
    <r>
      <rPr>
        <u/>
        <sz val="10"/>
        <color rgb="FF0563C1"/>
        <rFont val="Quattrocento Sans"/>
      </rPr>
      <t xml:space="preserve"> </t>
    </r>
  </si>
  <si>
    <t>SEO করে Freelancing (Complete SEO Course)</t>
  </si>
  <si>
    <t>completeseocourse</t>
  </si>
  <si>
    <t>YouTube Marketing করে Freelancing</t>
  </si>
  <si>
    <t>https://10ms.io/fKZnG1</t>
  </si>
  <si>
    <t>WordPress দিয়ে Freelancing</t>
  </si>
  <si>
    <t>Graphic Design করে Freelancing</t>
  </si>
  <si>
    <t>graphicdesign10</t>
  </si>
  <si>
    <t>https://10ms.io/TKZb6j</t>
  </si>
  <si>
    <t>Email Marketing করে Freelancing</t>
  </si>
  <si>
    <t>Facebook Marketing Masterclass</t>
  </si>
  <si>
    <t>FB890</t>
  </si>
  <si>
    <t>Data Entry দিয়ে Freelancing</t>
  </si>
  <si>
    <t>DEDF855AFF</t>
  </si>
  <si>
    <t>https://10ms.io/oKZnxb</t>
  </si>
  <si>
    <t>ঘরে বসে Freelancing</t>
  </si>
  <si>
    <t>GBFAFF855</t>
  </si>
  <si>
    <t>https://10ms.io/CKZnzV</t>
  </si>
  <si>
    <t>Microsoft Excel Masterclass</t>
  </si>
  <si>
    <t>AFFME10</t>
  </si>
  <si>
    <t>https://10ms.io/sKZndG</t>
  </si>
  <si>
    <t>Microsoft Word Masterclass</t>
  </si>
  <si>
    <t>AFFMW10</t>
  </si>
  <si>
    <t>Microsoft PowerPoint Masterclass</t>
  </si>
  <si>
    <t>Job Prep &amp; Career</t>
  </si>
  <si>
    <t>BCS প্রিলি রেকর্ডেড কোর্স</t>
  </si>
  <si>
    <t>bcsrecorded</t>
  </si>
  <si>
    <t>https://10ms.io/pHUGSE</t>
  </si>
  <si>
    <t>English for Govt. Jobs</t>
  </si>
  <si>
    <t>https://10ms.io/gHUFFl</t>
  </si>
  <si>
    <t>ব্যাংক জবস কোর্স (Bank Jobs Preparation)</t>
  </si>
  <si>
    <t>https://10ms.io/gKZnCl</t>
  </si>
  <si>
    <t>সরকারি চাকরি প্রস্তুতি বেসিক কোর্স</t>
  </si>
  <si>
    <t>https://10ms.io/PHUGPB</t>
  </si>
  <si>
    <t>Primary Assistant Teacher Recruitment Prep</t>
  </si>
  <si>
    <t>SK1250</t>
  </si>
  <si>
    <t>https://10ms.io/uKZnBQ</t>
  </si>
  <si>
    <t>Islamic &amp; Life Skills</t>
  </si>
  <si>
    <t>২৪ ঘণ্টায় কুরআন শিখি</t>
  </si>
  <si>
    <t>QURAN1050</t>
  </si>
  <si>
    <t>https://10ms.io/aKZnM5</t>
  </si>
  <si>
    <t>অর্থ বুঝে কুরআন শিখি</t>
  </si>
  <si>
    <t>QURAN1125</t>
  </si>
  <si>
    <t>https://10ms.io/LHUGba</t>
  </si>
  <si>
    <t>অর্থসহ নামাজ শিক্ষা</t>
  </si>
  <si>
    <t>NAMAZ750</t>
  </si>
  <si>
    <t>সহীহ কুরআন শিক্ষা ও তাজবীদ</t>
  </si>
  <si>
    <t>QURAN890</t>
  </si>
  <si>
    <t>https://10ms.io/CKZn9H</t>
  </si>
  <si>
    <t>Spoken Arabic Course</t>
  </si>
  <si>
    <t>ARABIC890</t>
  </si>
  <si>
    <t>ইসলামিক কোর্স বান্ডেল</t>
  </si>
  <si>
    <t>afficb</t>
  </si>
  <si>
    <t>https://10ms.io/bKZn52</t>
  </si>
  <si>
    <t>Personal Development</t>
  </si>
  <si>
    <t>Communication Masterclass by Tahsan Khan</t>
  </si>
  <si>
    <t>TAHSAN1050</t>
  </si>
  <si>
    <t>https://10minuteschool.com/product/communication-masterclass-by-tahsan-khan/?aff=V2AYT000030c3&amp;utm_medium=affiliation&amp;utm_source=12483&amp;utm_campaign=undefined_undefined&amp;utm_content=undefined&amp;type=affiliate</t>
  </si>
  <si>
    <t>Smart Leadership Bundle</t>
  </si>
  <si>
    <t>https://10ms.io/aKZO7A</t>
  </si>
  <si>
    <t>Leadership Excellence &amp; Negotiation Skills</t>
  </si>
  <si>
    <t>https://10ms.io/SKZIZk</t>
  </si>
  <si>
    <t>Public Speaking Masterclass</t>
  </si>
  <si>
    <t>SK1050</t>
  </si>
  <si>
    <t>https://10ms.io/dKZYEa</t>
  </si>
  <si>
    <t>Mental Health for Students</t>
  </si>
  <si>
    <t>AFFMHS10</t>
  </si>
  <si>
    <t>https://10ms.io/EKZPqs</t>
  </si>
  <si>
    <t>AI Course for Super Students</t>
  </si>
  <si>
    <t>https://10ms.io/pKZPwv</t>
  </si>
  <si>
    <t>https://10ms.io/qKZGNl</t>
  </si>
  <si>
    <t>Python দিয়ে Programming</t>
  </si>
  <si>
    <t>https://10ms.io/bKZKBz</t>
  </si>
  <si>
    <t>https://10ms.io/TKZZOg</t>
  </si>
  <si>
    <t>Career Guidance</t>
  </si>
  <si>
    <t>https://10ms.io/ZKZZFl</t>
  </si>
  <si>
    <t>Leadership Excellence</t>
  </si>
  <si>
    <t>https://10ms.io/qKZXFF</t>
  </si>
  <si>
    <t>Microsoft Office Starter Course</t>
  </si>
  <si>
    <t>https://10ms.io/jKZXCR</t>
  </si>
  <si>
    <t>Presentation &amp; Public Speaking</t>
  </si>
  <si>
    <t>https://10ms.io/cKZX08</t>
  </si>
  <si>
    <t>Money Management</t>
  </si>
  <si>
    <t>https://10ms.io/GKZBKJ</t>
  </si>
  <si>
    <t>ব্যাংক জবস কোর্স</t>
  </si>
  <si>
    <t>https://10ms.io/bKZ1Ha</t>
  </si>
  <si>
    <t>CV Writing &amp; Interview</t>
  </si>
  <si>
    <t>https://10ms.io/CKZ2J6</t>
  </si>
  <si>
    <t>Communication Secrets</t>
  </si>
  <si>
    <t>https://10ms.io/vKZ2Zs</t>
  </si>
  <si>
    <t>HSC 28 অনলাইন ব্যাচ - ইংরেজি</t>
  </si>
  <si>
    <t>https://10ms.io/tKB6lJ</t>
  </si>
  <si>
    <t>HSC 28 অনলাইন ব্যাচ - একাউন্টিং</t>
  </si>
  <si>
    <t>https://10ms.io/3KB6zo</t>
  </si>
  <si>
    <t>https://10ms.io/cKB6vt</t>
  </si>
  <si>
    <t>HSC 28 অনলাইন ব্যাচ - ফাইন্যান্স</t>
  </si>
  <si>
    <t>HSC 28 অনলাইন ব্যাচ (ফাইন্যান্স, একাউন্টিং, ম্যানেজমেন্ট, মার্কেটিং)</t>
  </si>
  <si>
    <t>https://10ms.io/zKB6Qa</t>
  </si>
  <si>
    <t>৳5600</t>
  </si>
  <si>
    <t>৳10000</t>
  </si>
  <si>
    <t>HSC 28 ফাইন্যান্স, একাউন্টিং, ম্যানেজমেন্ট, মার্কেটিং + BEI</t>
  </si>
  <si>
    <t>https://10ms.io/CKB6Wf</t>
  </si>
  <si>
    <t>HSC 28 অনলাইন ব্যাচ (বাংলা, ইংরেজি, তথ্য ও যোগাযোগ প্রযুক্তি)</t>
  </si>
  <si>
    <t>https://10ms.io/QKB6EL</t>
  </si>
  <si>
    <t>Business Group</t>
  </si>
  <si>
    <t>HSC 28 ইংরেজি প্রথম পত্র: মাস্টার বুক</t>
  </si>
  <si>
    <t>https://10ms.io/vKB6sW</t>
  </si>
  <si>
    <t>HSC 28 ইংরেজি দ্বিতীয় পত্র: মাস্টার বুক</t>
  </si>
  <si>
    <t>https://10ms.io/PKB6b7</t>
  </si>
  <si>
    <t>HSC 28 অনলাইন ব্যাচ (ফিজিক্স, কেমিস্ট্রি, ম্যাথ, বায়োলজি) PCMB (Cycle 1)</t>
  </si>
  <si>
    <t>https://10ms.io/wKNwtN</t>
  </si>
  <si>
    <t>PCMB (Cycle 1-2)</t>
  </si>
  <si>
    <t>PCMB (Cycle 1-4)</t>
  </si>
  <si>
    <t>PCMB (Cycle 1-4) + BEI</t>
  </si>
  <si>
    <t>https://10ms.io/XKNwKc</t>
  </si>
  <si>
    <t>https://10ms.io/xKNwL3</t>
  </si>
  <si>
    <t>https://10ms.io/fKNwZj</t>
  </si>
  <si>
    <t>https://10ms.io/TKNewp</t>
  </si>
  <si>
    <t>HSC 28 অনলাইন ব্যাচ - বায়োলজি Cycle 1-2</t>
  </si>
  <si>
    <t>https://10ms.io/UKNeea</t>
  </si>
  <si>
    <t>Biology: Cycle 1</t>
  </si>
  <si>
    <t>Biology: Cycle 1-4</t>
  </si>
  <si>
    <t>https://10ms.io/TKNerY</t>
  </si>
  <si>
    <t>https://10ms.io/LKNedc</t>
  </si>
  <si>
    <t>HSC 28 অনলাইন ব্যাচ - ম্যাথ Math: Cycle 1</t>
  </si>
  <si>
    <t>Math: Cycle 1-2</t>
  </si>
  <si>
    <t>Math: Cycle 1-4</t>
  </si>
  <si>
    <t>https://10ms.io/xKNez2</t>
  </si>
  <si>
    <t>https://10ms.io/QKNex0</t>
  </si>
  <si>
    <t>HSC 28 অনলাইন ব্যাচ - কেমিস্ট্রি Cycle 1-2</t>
  </si>
  <si>
    <t>https://10ms.io/8KNevp</t>
  </si>
  <si>
    <t>https://10ms.io/zKNebj</t>
  </si>
  <si>
    <t>Chemistry: Cycle 1-4</t>
  </si>
  <si>
    <t>Chemistry: Cycle 1</t>
  </si>
  <si>
    <t>https://10ms.io/CKNemx</t>
  </si>
  <si>
    <t>https://10ms.io/bKNeEN</t>
  </si>
  <si>
    <t>HSC 28 অনলাইন ব্যাচ - ICT</t>
  </si>
  <si>
    <t>HSC 28 অনলাইন ব্যাচ (জিওগ্রাফি, ইকোনমিক্স, পৌরনীতি)</t>
  </si>
  <si>
    <t>https://10ms.io/QKNeTX</t>
  </si>
  <si>
    <t>https://10ms.io/aKNeUp</t>
  </si>
  <si>
    <t>জিওগ্রাফি, ইকোনমিক্স, পৌরনীতি + BEI</t>
  </si>
  <si>
    <t>https://10ms.io/7KNeAv</t>
  </si>
  <si>
    <t>HSC 28 অনলাইন ব্যাচ - ইকোনমিক্স</t>
  </si>
  <si>
    <t>HSC 28 অনলাইন ব্যাচ - পৌরনীতি</t>
  </si>
  <si>
    <t>https://10ms.io/sKNeDL</t>
  </si>
  <si>
    <t>HSC 28 অনলাইন ব্যাচ - বাংলা</t>
  </si>
  <si>
    <t>https://10ms.io/IKNeDq</t>
  </si>
  <si>
    <t>HSC 28 অনলাইন ব্যাচ - ম্যানেজমেন্ট</t>
  </si>
  <si>
    <t>HSC 28 অনলাইন ব্যাচ - মার্কেটিং</t>
  </si>
  <si>
    <t>https://10ms.io/7KNeHT</t>
  </si>
  <si>
    <t>https://10ms.io/NKNeJH</t>
  </si>
  <si>
    <t>HSC 28 অনলাইন ব্যাচ - জিওগ্রাফি</t>
  </si>
  <si>
    <t>https://10ms.io/JKNeXb</t>
  </si>
  <si>
    <t>ভার্সিটি এডমিশন প্রশ্ন সমাধান কোর্স (A, B, C Unit)</t>
  </si>
  <si>
    <t>Free</t>
  </si>
  <si>
    <t>https://10ms.io/RKNeBp</t>
  </si>
  <si>
    <t>https://10ms.io/mKNe0R</t>
  </si>
  <si>
    <t>https://10ms.io/yKNe2Z</t>
  </si>
  <si>
    <t>https://10ms.io/aKNe3D</t>
  </si>
  <si>
    <t>বিসিএস প্রিলি রেকর্ডেড কোর্স</t>
  </si>
  <si>
    <t>https://10ms.io/mKNe6X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</si>
</sst>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scheme val="minor"/>
    </font>
    <font>
      <b/>
      <sz val="11"/>
      <color rgb="FFFFFFFF"/>
      <name val="Quattrocento Sans"/>
    </font>
    <font>
      <b/>
      <sz val="11"/>
      <color rgb="FFFFFFFF"/>
      <name val="Arial"/>
    </font>
    <font>
      <b/>
      <sz val="10"/>
      <color theme="1"/>
      <name val="Quattrocento Sans"/>
    </font>
    <font>
      <sz val="10"/>
      <color theme="1"/>
      <name val="Quattrocento Sans"/>
    </font>
    <font>
      <sz val="10"/>
      <color theme="1"/>
      <name val="Arial"/>
    </font>
    <font>
      <sz val="11"/>
      <color rgb="FF111827"/>
      <name val="Arial"/>
    </font>
    <font>
      <u/>
      <sz val="10"/>
      <color rgb="FF0000FF"/>
      <name val="Quattrocento Sans"/>
    </font>
    <font>
      <u/>
      <sz val="10"/>
      <color rgb="FF0000FF"/>
      <name val="Quattrocento Sans"/>
    </font>
    <font>
      <u/>
      <sz val="10"/>
      <color rgb="FF0563C1"/>
      <name val="Quattrocento Sans"/>
    </font>
    <font>
      <u/>
      <sz val="10"/>
      <color rgb="FF0000FF"/>
      <name val="Quattrocento Sans"/>
    </font>
    <font>
      <u/>
      <sz val="10"/>
      <color rgb="FF0000FF"/>
      <name val="Quattrocento Sans"/>
    </font>
    <font>
      <u/>
      <sz val="10"/>
      <color rgb="FF0563C1"/>
      <name val="Quattrocento Sans"/>
    </font>
    <font>
      <u/>
      <sz val="10"/>
      <color rgb="FF0000FF"/>
      <name val="Quattrocento Sans"/>
    </font>
    <font>
      <u/>
      <sz val="10"/>
      <color rgb="FF0000FF"/>
      <name val="Quattrocento Sans"/>
    </font>
    <font>
      <u/>
      <sz val="10"/>
      <color rgb="FF0000FF"/>
      <name val="Quattrocento Sans"/>
    </font>
    <font>
      <u/>
      <sz val="10"/>
      <color rgb="FF0563C1"/>
      <name val="Quattrocento Sans"/>
    </font>
    <font>
      <b/>
      <sz val="12"/>
      <color rgb="FF3F3F3F"/>
      <name val="Roboto"/>
    </font>
    <font>
      <u/>
      <sz val="10"/>
      <color rgb="FF0563C1"/>
      <name val="Quattrocento Sans"/>
    </font>
    <font>
      <u/>
      <sz val="10"/>
      <color rgb="FF0000FF"/>
      <name val="Quattrocento Sans"/>
    </font>
    <font>
      <u/>
      <sz val="10"/>
      <color rgb="FF0000FF"/>
      <name val="Quattrocento Sans"/>
    </font>
    <font>
      <u/>
      <sz val="10"/>
      <color rgb="FF0563C1"/>
      <name val="Quattrocento Sans"/>
    </font>
    <font>
      <u/>
      <sz val="10"/>
      <color rgb="FF0000FF"/>
      <name val="Quattrocento Sans"/>
    </font>
    <font>
      <u/>
      <sz val="11"/>
      <color rgb="FF0000FF"/>
      <name val="Calibri"/>
    </font>
    <font>
      <sz val="11"/>
      <color theme="1"/>
      <name val="Calibri"/>
      <scheme val="minor"/>
    </font>
    <font>
      <u/>
      <sz val="11"/>
      <color rgb="FF0000FF"/>
      <name val="Calibri"/>
    </font>
    <font>
      <u/>
      <sz val="10"/>
      <color rgb="FF1155CC"/>
      <name val="Quattrocento Sans"/>
    </font>
    <font>
      <u/>
      <sz val="11"/>
      <color theme="10"/>
      <name val="Calibri"/>
      <scheme val="minor"/>
    </font>
    <font>
      <b/>
      <sz val="10"/>
      <color theme="1"/>
      <name val="Quattrocento Sans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0F4C81"/>
        <bgColor rgb="FF0F4C81"/>
      </patternFill>
    </fill>
    <fill>
      <patternFill patternType="solid">
        <fgColor rgb="FFEDF2F8"/>
        <bgColor rgb="FFEDF2F8"/>
      </patternFill>
    </fill>
    <fill>
      <patternFill patternType="solid">
        <fgColor rgb="FFF4F7FA"/>
        <bgColor rgb="FFF4F7FA"/>
      </patternFill>
    </fill>
    <fill>
      <patternFill patternType="solid">
        <fgColor rgb="FFFFFFFF"/>
        <bgColor rgb="FFFFFFFF"/>
      </patternFill>
    </fill>
    <fill>
      <patternFill patternType="solid">
        <fgColor rgb="FFEBF1F5"/>
        <bgColor rgb="FFEBF1F5"/>
      </patternFill>
    </fill>
    <fill>
      <patternFill patternType="solid">
        <fgColor rgb="FFE3EEFC"/>
        <bgColor rgb="FFE3EEFC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8E5F4"/>
        <bgColor rgb="FFE8E5F4"/>
      </patternFill>
    </fill>
    <fill>
      <patternFill patternType="solid">
        <fgColor rgb="FFF2EBF9"/>
        <bgColor rgb="FFF2EBF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6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4" fontId="4" fillId="4" borderId="2" xfId="0" applyNumberFormat="1" applyFont="1" applyFill="1" applyBorder="1" applyAlignment="1">
      <alignment horizontal="right" vertical="center"/>
    </xf>
    <xf numFmtId="0" fontId="5" fillId="5" borderId="3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3" fontId="5" fillId="5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4" fontId="4" fillId="4" borderId="2" xfId="0" applyNumberFormat="1" applyFont="1" applyFill="1" applyBorder="1" applyAlignment="1">
      <alignment horizontal="right" vertical="center" wrapText="1"/>
    </xf>
    <xf numFmtId="0" fontId="5" fillId="6" borderId="3" xfId="0" applyFont="1" applyFill="1" applyBorder="1" applyAlignment="1">
      <alignment horizontal="left" vertical="center"/>
    </xf>
    <xf numFmtId="3" fontId="5" fillId="6" borderId="3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6" fillId="0" borderId="0" xfId="0" applyFont="1"/>
    <xf numFmtId="0" fontId="3" fillId="7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4" fontId="4" fillId="7" borderId="2" xfId="0" applyNumberFormat="1" applyFont="1" applyFill="1" applyBorder="1" applyAlignment="1">
      <alignment horizontal="right" vertical="center"/>
    </xf>
    <xf numFmtId="0" fontId="3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/>
    </xf>
    <xf numFmtId="4" fontId="4" fillId="8" borderId="2" xfId="0" applyNumberFormat="1" applyFont="1" applyFill="1" applyBorder="1" applyAlignment="1">
      <alignment horizontal="right" vertical="center"/>
    </xf>
    <xf numFmtId="0" fontId="3" fillId="8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left" vertical="center"/>
    </xf>
    <xf numFmtId="0" fontId="10" fillId="8" borderId="2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left" vertical="center"/>
    </xf>
    <xf numFmtId="4" fontId="4" fillId="9" borderId="2" xfId="0" applyNumberFormat="1" applyFont="1" applyFill="1" applyBorder="1" applyAlignment="1">
      <alignment horizontal="right" vertical="center"/>
    </xf>
    <xf numFmtId="0" fontId="3" fillId="9" borderId="2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left" vertical="center"/>
    </xf>
    <xf numFmtId="0" fontId="13" fillId="9" borderId="2" xfId="0" applyFont="1" applyFill="1" applyBorder="1" applyAlignment="1">
      <alignment horizontal="left" vertical="center"/>
    </xf>
    <xf numFmtId="0" fontId="14" fillId="9" borderId="2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left" vertical="center"/>
    </xf>
    <xf numFmtId="4" fontId="4" fillId="10" borderId="2" xfId="0" applyNumberFormat="1" applyFont="1" applyFill="1" applyBorder="1" applyAlignment="1">
      <alignment horizontal="right" vertical="center"/>
    </xf>
    <xf numFmtId="0" fontId="3" fillId="10" borderId="2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left" vertical="center"/>
    </xf>
    <xf numFmtId="0" fontId="16" fillId="10" borderId="2" xfId="0" applyFont="1" applyFill="1" applyBorder="1" applyAlignment="1">
      <alignment horizontal="left" vertical="center"/>
    </xf>
    <xf numFmtId="0" fontId="17" fillId="6" borderId="0" xfId="0" applyFont="1" applyFill="1"/>
    <xf numFmtId="0" fontId="3" fillId="11" borderId="2" xfId="0" applyFont="1" applyFill="1" applyBorder="1" applyAlignment="1">
      <alignment horizontal="left" vertical="center"/>
    </xf>
    <xf numFmtId="0" fontId="4" fillId="11" borderId="2" xfId="0" applyFont="1" applyFill="1" applyBorder="1" applyAlignment="1">
      <alignment horizontal="left" vertical="center"/>
    </xf>
    <xf numFmtId="4" fontId="4" fillId="11" borderId="2" xfId="0" applyNumberFormat="1" applyFont="1" applyFill="1" applyBorder="1" applyAlignment="1">
      <alignment horizontal="right" vertical="center"/>
    </xf>
    <xf numFmtId="0" fontId="3" fillId="11" borderId="2" xfId="0" applyFont="1" applyFill="1" applyBorder="1" applyAlignment="1">
      <alignment horizontal="center" vertical="center"/>
    </xf>
    <xf numFmtId="0" fontId="18" fillId="11" borderId="2" xfId="0" applyFont="1" applyFill="1" applyBorder="1" applyAlignment="1">
      <alignment horizontal="left" vertical="center"/>
    </xf>
    <xf numFmtId="0" fontId="19" fillId="11" borderId="2" xfId="0" applyFont="1" applyFill="1" applyBorder="1" applyAlignment="1">
      <alignment horizontal="left" vertical="center"/>
    </xf>
    <xf numFmtId="0" fontId="3" fillId="12" borderId="2" xfId="0" applyFont="1" applyFill="1" applyBorder="1" applyAlignment="1">
      <alignment horizontal="left" vertical="center"/>
    </xf>
    <xf numFmtId="0" fontId="4" fillId="12" borderId="2" xfId="0" applyFont="1" applyFill="1" applyBorder="1" applyAlignment="1">
      <alignment horizontal="left" vertical="center"/>
    </xf>
    <xf numFmtId="4" fontId="4" fillId="12" borderId="2" xfId="0" applyNumberFormat="1" applyFont="1" applyFill="1" applyBorder="1" applyAlignment="1">
      <alignment horizontal="right" vertical="center"/>
    </xf>
    <xf numFmtId="0" fontId="3" fillId="12" borderId="2" xfId="0" applyFont="1" applyFill="1" applyBorder="1" applyAlignment="1">
      <alignment horizontal="center" vertical="center"/>
    </xf>
    <xf numFmtId="0" fontId="20" fillId="12" borderId="2" xfId="0" applyFont="1" applyFill="1" applyBorder="1" applyAlignment="1">
      <alignment horizontal="left" vertical="center"/>
    </xf>
    <xf numFmtId="0" fontId="21" fillId="12" borderId="2" xfId="0" applyFont="1" applyFill="1" applyBorder="1" applyAlignment="1">
      <alignment horizontal="left" vertical="center"/>
    </xf>
    <xf numFmtId="0" fontId="3" fillId="13" borderId="2" xfId="0" applyFont="1" applyFill="1" applyBorder="1" applyAlignment="1">
      <alignment horizontal="left" vertical="center"/>
    </xf>
    <xf numFmtId="0" fontId="4" fillId="13" borderId="2" xfId="0" applyFont="1" applyFill="1" applyBorder="1" applyAlignment="1">
      <alignment horizontal="left" vertical="center"/>
    </xf>
    <xf numFmtId="4" fontId="4" fillId="13" borderId="2" xfId="0" applyNumberFormat="1" applyFont="1" applyFill="1" applyBorder="1" applyAlignment="1">
      <alignment horizontal="right" vertical="center"/>
    </xf>
    <xf numFmtId="0" fontId="3" fillId="13" borderId="2" xfId="0" applyFont="1" applyFill="1" applyBorder="1" applyAlignment="1">
      <alignment horizontal="center" vertical="center"/>
    </xf>
    <xf numFmtId="0" fontId="22" fillId="13" borderId="2" xfId="0" applyFont="1" applyFill="1" applyBorder="1" applyAlignment="1">
      <alignment horizontal="left" vertical="center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28" fillId="7" borderId="2" xfId="0" applyFont="1" applyFill="1" applyBorder="1" applyAlignment="1">
      <alignment horizontal="left" vertical="center"/>
    </xf>
    <xf numFmtId="0" fontId="27" fillId="7" borderId="2" xfId="1" applyFill="1" applyBorder="1" applyAlignment="1">
      <alignment horizontal="left" vertical="center"/>
    </xf>
    <xf numFmtId="4" fontId="28" fillId="7" borderId="2" xfId="0" applyNumberFormat="1" applyFont="1" applyFill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10ms.io/jKZnvf" TargetMode="External"/><Relationship Id="rId18" Type="http://schemas.openxmlformats.org/officeDocument/2006/relationships/hyperlink" Target="https://10ms.io/TKZb6j" TargetMode="External"/><Relationship Id="rId26" Type="http://schemas.openxmlformats.org/officeDocument/2006/relationships/hyperlink" Target="https://10ms.io/aKZnM5" TargetMode="External"/><Relationship Id="rId39" Type="http://schemas.openxmlformats.org/officeDocument/2006/relationships/hyperlink" Target="https://10ms.io/ZKZZFl" TargetMode="External"/><Relationship Id="rId21" Type="http://schemas.openxmlformats.org/officeDocument/2006/relationships/hyperlink" Target="https://10ms.io/sKZndG" TargetMode="External"/><Relationship Id="rId34" Type="http://schemas.openxmlformats.org/officeDocument/2006/relationships/hyperlink" Target="https://10ms.io/pKZPwv" TargetMode="External"/><Relationship Id="rId42" Type="http://schemas.openxmlformats.org/officeDocument/2006/relationships/hyperlink" Target="https://10ms.io/cKZX08" TargetMode="External"/><Relationship Id="rId47" Type="http://schemas.openxmlformats.org/officeDocument/2006/relationships/hyperlink" Target="https://10ms.io/vKB6sW" TargetMode="External"/><Relationship Id="rId50" Type="http://schemas.openxmlformats.org/officeDocument/2006/relationships/hyperlink" Target="https://10ms.io/UKNeea" TargetMode="External"/><Relationship Id="rId55" Type="http://schemas.openxmlformats.org/officeDocument/2006/relationships/hyperlink" Target="https://10ms.io/IKNeDq" TargetMode="External"/><Relationship Id="rId7" Type="http://schemas.openxmlformats.org/officeDocument/2006/relationships/hyperlink" Target="https://10ms.io/GKZ8pe" TargetMode="External"/><Relationship Id="rId2" Type="http://schemas.openxmlformats.org/officeDocument/2006/relationships/hyperlink" Target="https://10ms.io/cKXqKZ" TargetMode="External"/><Relationship Id="rId16" Type="http://schemas.openxmlformats.org/officeDocument/2006/relationships/hyperlink" Target="https://10ms.io/eHUGRt" TargetMode="External"/><Relationship Id="rId29" Type="http://schemas.openxmlformats.org/officeDocument/2006/relationships/hyperlink" Target="https://10minuteschool.com/product/communication-masterclass-by-tahsan-khan/?aff=V2AYT000030c3&amp;utm_medium=affiliation&amp;utm_source=12483&amp;utm_campaign=undefined_undefined&amp;utm_content=undefined&amp;type=affiliate" TargetMode="External"/><Relationship Id="rId11" Type="http://schemas.openxmlformats.org/officeDocument/2006/relationships/hyperlink" Target="https://10ms.io/DKZbW2" TargetMode="External"/><Relationship Id="rId24" Type="http://schemas.openxmlformats.org/officeDocument/2006/relationships/hyperlink" Target="https://10ms.io/gKZnCl" TargetMode="External"/><Relationship Id="rId32" Type="http://schemas.openxmlformats.org/officeDocument/2006/relationships/hyperlink" Target="https://10ms.io/dKZYEa" TargetMode="External"/><Relationship Id="rId37" Type="http://schemas.openxmlformats.org/officeDocument/2006/relationships/hyperlink" Target="https://10ms.io/bKZKBz" TargetMode="External"/><Relationship Id="rId40" Type="http://schemas.openxmlformats.org/officeDocument/2006/relationships/hyperlink" Target="https://10ms.io/qKZXFF" TargetMode="External"/><Relationship Id="rId45" Type="http://schemas.openxmlformats.org/officeDocument/2006/relationships/hyperlink" Target="https://10ms.io/CKZ2J6" TargetMode="External"/><Relationship Id="rId53" Type="http://schemas.openxmlformats.org/officeDocument/2006/relationships/hyperlink" Target="https://10ms.io/8KNevp" TargetMode="External"/><Relationship Id="rId5" Type="http://schemas.openxmlformats.org/officeDocument/2006/relationships/hyperlink" Target="https://10ms.io/tKZ8t7" TargetMode="External"/><Relationship Id="rId19" Type="http://schemas.openxmlformats.org/officeDocument/2006/relationships/hyperlink" Target="https://10ms.io/oKZnxb" TargetMode="External"/><Relationship Id="rId4" Type="http://schemas.openxmlformats.org/officeDocument/2006/relationships/hyperlink" Target="https://10ms.io/BKXqGX" TargetMode="External"/><Relationship Id="rId9" Type="http://schemas.openxmlformats.org/officeDocument/2006/relationships/hyperlink" Target="https://10ms.io/xHUGfm" TargetMode="External"/><Relationship Id="rId14" Type="http://schemas.openxmlformats.org/officeDocument/2006/relationships/hyperlink" Target="https://10ms.io/NKZnQS" TargetMode="External"/><Relationship Id="rId22" Type="http://schemas.openxmlformats.org/officeDocument/2006/relationships/hyperlink" Target="https://10ms.io/sKZndG" TargetMode="External"/><Relationship Id="rId27" Type="http://schemas.openxmlformats.org/officeDocument/2006/relationships/hyperlink" Target="https://10ms.io/CKZn9H" TargetMode="External"/><Relationship Id="rId30" Type="http://schemas.openxmlformats.org/officeDocument/2006/relationships/hyperlink" Target="https://10ms.io/aKZO7A" TargetMode="External"/><Relationship Id="rId35" Type="http://schemas.openxmlformats.org/officeDocument/2006/relationships/hyperlink" Target="https://10ms.io/qKZGNl" TargetMode="External"/><Relationship Id="rId43" Type="http://schemas.openxmlformats.org/officeDocument/2006/relationships/hyperlink" Target="https://10ms.io/GKZBKJ" TargetMode="External"/><Relationship Id="rId48" Type="http://schemas.openxmlformats.org/officeDocument/2006/relationships/hyperlink" Target="https://10ms.io/wKNwtN" TargetMode="External"/><Relationship Id="rId56" Type="http://schemas.openxmlformats.org/officeDocument/2006/relationships/hyperlink" Target="https://10ms.io/7KNeHT" TargetMode="External"/><Relationship Id="rId8" Type="http://schemas.openxmlformats.org/officeDocument/2006/relationships/hyperlink" Target="https://10ms.io/cHPjFx" TargetMode="External"/><Relationship Id="rId51" Type="http://schemas.openxmlformats.org/officeDocument/2006/relationships/hyperlink" Target="https://10ms.io/LKNedc" TargetMode="External"/><Relationship Id="rId3" Type="http://schemas.openxmlformats.org/officeDocument/2006/relationships/hyperlink" Target="https://10ms.io/pKXqSa" TargetMode="External"/><Relationship Id="rId12" Type="http://schemas.openxmlformats.org/officeDocument/2006/relationships/hyperlink" Target="https://10ms.io/KKZbPw" TargetMode="External"/><Relationship Id="rId17" Type="http://schemas.openxmlformats.org/officeDocument/2006/relationships/hyperlink" Target="https://10ms.io/fKZnG1" TargetMode="External"/><Relationship Id="rId25" Type="http://schemas.openxmlformats.org/officeDocument/2006/relationships/hyperlink" Target="https://10ms.io/uKZnBQ" TargetMode="External"/><Relationship Id="rId33" Type="http://schemas.openxmlformats.org/officeDocument/2006/relationships/hyperlink" Target="https://10ms.io/EKZPqs" TargetMode="External"/><Relationship Id="rId38" Type="http://schemas.openxmlformats.org/officeDocument/2006/relationships/hyperlink" Target="https://10ms.io/hKZZUc" TargetMode="External"/><Relationship Id="rId46" Type="http://schemas.openxmlformats.org/officeDocument/2006/relationships/hyperlink" Target="https://10ms.io/vKZ2Zs" TargetMode="External"/><Relationship Id="rId20" Type="http://schemas.openxmlformats.org/officeDocument/2006/relationships/hyperlink" Target="https://10ms.io/CKZnzV" TargetMode="External"/><Relationship Id="rId41" Type="http://schemas.openxmlformats.org/officeDocument/2006/relationships/hyperlink" Target="https://10ms.io/jKZXCR" TargetMode="External"/><Relationship Id="rId54" Type="http://schemas.openxmlformats.org/officeDocument/2006/relationships/hyperlink" Target="https://10ms.io/sKNeDL" TargetMode="External"/><Relationship Id="rId1" Type="http://schemas.openxmlformats.org/officeDocument/2006/relationships/hyperlink" Target="https://10ms.io/3KlR9t" TargetMode="External"/><Relationship Id="rId6" Type="http://schemas.openxmlformats.org/officeDocument/2006/relationships/hyperlink" Target="https://10ms.io/7KZ8ew" TargetMode="External"/><Relationship Id="rId15" Type="http://schemas.openxmlformats.org/officeDocument/2006/relationships/hyperlink" Target="https://10ms.io/mKZnIQ" TargetMode="External"/><Relationship Id="rId23" Type="http://schemas.openxmlformats.org/officeDocument/2006/relationships/hyperlink" Target="https://10ms.io/sKZndG" TargetMode="External"/><Relationship Id="rId28" Type="http://schemas.openxmlformats.org/officeDocument/2006/relationships/hyperlink" Target="https://10ms.io/bKZn52" TargetMode="External"/><Relationship Id="rId36" Type="http://schemas.openxmlformats.org/officeDocument/2006/relationships/hyperlink" Target="https://10ms.io/qKZGNl" TargetMode="External"/><Relationship Id="rId49" Type="http://schemas.openxmlformats.org/officeDocument/2006/relationships/hyperlink" Target="https://10ms.io/TKNewp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https://10ms.io/nHUGo1" TargetMode="External"/><Relationship Id="rId31" Type="http://schemas.openxmlformats.org/officeDocument/2006/relationships/hyperlink" Target="https://10ms.io/SKZIZk" TargetMode="External"/><Relationship Id="rId44" Type="http://schemas.openxmlformats.org/officeDocument/2006/relationships/hyperlink" Target="https://10ms.io/bKZ1Ha" TargetMode="External"/><Relationship Id="rId52" Type="http://schemas.openxmlformats.org/officeDocument/2006/relationships/hyperlink" Target="https://10ms.io/xKNez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7"/>
  <sheetViews>
    <sheetView tabSelected="1" zoomScale="55" zoomScaleNormal="55" workbookViewId="0">
      <pane ySplit="1" topLeftCell="A2" activePane="bottomLeft" state="frozen"/>
      <selection pane="bottomLeft" activeCell="B173" sqref="B173"/>
    </sheetView>
  </sheetViews>
  <sheetFormatPr defaultColWidth="14.42578125" defaultRowHeight="15" customHeight="1" x14ac:dyDescent="0.25"/>
  <cols>
    <col min="1" max="1" width="34" customWidth="1"/>
    <col min="2" max="2" width="62" customWidth="1"/>
    <col min="3" max="3" width="20" customWidth="1"/>
    <col min="4" max="4" width="22" customWidth="1"/>
    <col min="5" max="6" width="23" customWidth="1"/>
    <col min="7" max="7" width="18" customWidth="1"/>
    <col min="8" max="8" width="36" customWidth="1"/>
  </cols>
  <sheetData>
    <row r="1" spans="1:8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1.75" customHeight="1" x14ac:dyDescent="0.25">
      <c r="A2" s="3" t="s">
        <v>9</v>
      </c>
      <c r="B2" s="4" t="s">
        <v>11</v>
      </c>
      <c r="C2" s="5">
        <v>2500</v>
      </c>
      <c r="D2" s="7"/>
      <c r="E2" s="5">
        <f>C2*0.15</f>
        <v>375</v>
      </c>
      <c r="F2" s="5">
        <v>100</v>
      </c>
      <c r="G2" s="5">
        <f>E2-F2</f>
        <v>275</v>
      </c>
      <c r="H2" s="4"/>
    </row>
    <row r="3" spans="1:8" ht="21.75" customHeight="1" x14ac:dyDescent="0.25">
      <c r="A3" s="3"/>
      <c r="B3" s="4" t="s">
        <v>17</v>
      </c>
      <c r="C3" s="10" t="s">
        <v>18</v>
      </c>
      <c r="D3" s="7" t="s">
        <v>19</v>
      </c>
      <c r="E3" s="5"/>
      <c r="F3" s="5"/>
      <c r="G3" s="5"/>
      <c r="H3" s="4" t="s">
        <v>20</v>
      </c>
    </row>
    <row r="4" spans="1:8" ht="21.75" customHeight="1" x14ac:dyDescent="0.25">
      <c r="A4" s="3" t="s">
        <v>9</v>
      </c>
      <c r="B4" s="4" t="s">
        <v>22</v>
      </c>
      <c r="C4" s="5">
        <v>6000</v>
      </c>
      <c r="D4" s="7"/>
      <c r="E4" s="5">
        <f t="shared" ref="E4:E14" si="0">C4*0.15</f>
        <v>900</v>
      </c>
      <c r="F4" s="5">
        <v>250</v>
      </c>
      <c r="G4" s="5">
        <f t="shared" ref="G4:G14" si="1">E4-F4</f>
        <v>650</v>
      </c>
      <c r="H4" s="4"/>
    </row>
    <row r="5" spans="1:8" ht="21.75" customHeight="1" x14ac:dyDescent="0.25">
      <c r="A5" s="3" t="s">
        <v>9</v>
      </c>
      <c r="B5" s="4" t="s">
        <v>34</v>
      </c>
      <c r="C5" s="5">
        <v>3500</v>
      </c>
      <c r="D5" s="7"/>
      <c r="E5" s="5">
        <f t="shared" si="0"/>
        <v>525</v>
      </c>
      <c r="F5" s="5">
        <v>150</v>
      </c>
      <c r="G5" s="5">
        <f t="shared" si="1"/>
        <v>375</v>
      </c>
      <c r="H5" s="4"/>
    </row>
    <row r="6" spans="1:8" ht="21.75" customHeight="1" x14ac:dyDescent="0.25">
      <c r="A6" s="3" t="s">
        <v>9</v>
      </c>
      <c r="B6" s="4" t="s">
        <v>37</v>
      </c>
      <c r="C6" s="5">
        <v>8000</v>
      </c>
      <c r="D6" s="7"/>
      <c r="E6" s="5">
        <f t="shared" si="0"/>
        <v>1200</v>
      </c>
      <c r="F6" s="5">
        <v>400</v>
      </c>
      <c r="G6" s="5">
        <f t="shared" si="1"/>
        <v>800</v>
      </c>
      <c r="H6" s="4"/>
    </row>
    <row r="7" spans="1:8" ht="21.75" customHeight="1" x14ac:dyDescent="0.25">
      <c r="A7" s="3" t="s">
        <v>9</v>
      </c>
      <c r="B7" s="4" t="s">
        <v>40</v>
      </c>
      <c r="C7" s="5">
        <v>6000</v>
      </c>
      <c r="D7" s="7"/>
      <c r="E7" s="5">
        <f t="shared" si="0"/>
        <v>900</v>
      </c>
      <c r="F7" s="5">
        <v>250</v>
      </c>
      <c r="G7" s="5">
        <f t="shared" si="1"/>
        <v>650</v>
      </c>
      <c r="H7" s="4"/>
    </row>
    <row r="8" spans="1:8" ht="21.75" customHeight="1" x14ac:dyDescent="0.25">
      <c r="A8" s="3" t="s">
        <v>9</v>
      </c>
      <c r="B8" s="4" t="s">
        <v>44</v>
      </c>
      <c r="C8" s="5">
        <v>3500</v>
      </c>
      <c r="D8" s="7"/>
      <c r="E8" s="5">
        <f t="shared" si="0"/>
        <v>525</v>
      </c>
      <c r="F8" s="5">
        <v>150</v>
      </c>
      <c r="G8" s="5">
        <f t="shared" si="1"/>
        <v>375</v>
      </c>
      <c r="H8" s="4"/>
    </row>
    <row r="9" spans="1:8" ht="21.75" customHeight="1" x14ac:dyDescent="0.25">
      <c r="A9" s="3" t="s">
        <v>9</v>
      </c>
      <c r="B9" s="4" t="s">
        <v>46</v>
      </c>
      <c r="C9" s="5">
        <v>4500</v>
      </c>
      <c r="D9" s="7"/>
      <c r="E9" s="5">
        <f t="shared" si="0"/>
        <v>675</v>
      </c>
      <c r="F9" s="5">
        <v>200</v>
      </c>
      <c r="G9" s="5">
        <f t="shared" si="1"/>
        <v>475</v>
      </c>
      <c r="H9" s="4"/>
    </row>
    <row r="10" spans="1:8" ht="21.75" customHeight="1" x14ac:dyDescent="0.25">
      <c r="A10" s="3" t="s">
        <v>9</v>
      </c>
      <c r="B10" s="4" t="s">
        <v>50</v>
      </c>
      <c r="C10" s="5">
        <v>3500</v>
      </c>
      <c r="D10" s="7"/>
      <c r="E10" s="5">
        <f t="shared" si="0"/>
        <v>525</v>
      </c>
      <c r="F10" s="5">
        <v>150</v>
      </c>
      <c r="G10" s="5">
        <f t="shared" si="1"/>
        <v>375</v>
      </c>
      <c r="H10" s="4"/>
    </row>
    <row r="11" spans="1:8" ht="21.75" customHeight="1" x14ac:dyDescent="0.25">
      <c r="A11" s="3" t="s">
        <v>9</v>
      </c>
      <c r="B11" s="4" t="s">
        <v>53</v>
      </c>
      <c r="C11" s="5">
        <v>6000</v>
      </c>
      <c r="D11" s="7"/>
      <c r="E11" s="5">
        <f t="shared" si="0"/>
        <v>900</v>
      </c>
      <c r="F11" s="5">
        <v>250</v>
      </c>
      <c r="G11" s="5">
        <f t="shared" si="1"/>
        <v>650</v>
      </c>
      <c r="H11" s="4"/>
    </row>
    <row r="12" spans="1:8" ht="21.75" customHeight="1" x14ac:dyDescent="0.25">
      <c r="A12" s="3" t="s">
        <v>9</v>
      </c>
      <c r="B12" s="4" t="s">
        <v>56</v>
      </c>
      <c r="C12" s="5">
        <v>4500</v>
      </c>
      <c r="D12" s="7"/>
      <c r="E12" s="5">
        <f t="shared" si="0"/>
        <v>675</v>
      </c>
      <c r="F12" s="5">
        <v>200</v>
      </c>
      <c r="G12" s="5">
        <f t="shared" si="1"/>
        <v>475</v>
      </c>
      <c r="H12" s="4"/>
    </row>
    <row r="13" spans="1:8" ht="21.75" customHeight="1" x14ac:dyDescent="0.25">
      <c r="A13" s="3" t="s">
        <v>9</v>
      </c>
      <c r="B13" s="4" t="s">
        <v>59</v>
      </c>
      <c r="C13" s="5">
        <v>3500</v>
      </c>
      <c r="D13" s="7"/>
      <c r="E13" s="5">
        <f t="shared" si="0"/>
        <v>525</v>
      </c>
      <c r="F13" s="5">
        <v>150</v>
      </c>
      <c r="G13" s="5">
        <f t="shared" si="1"/>
        <v>375</v>
      </c>
      <c r="H13" s="4"/>
    </row>
    <row r="14" spans="1:8" ht="21.75" customHeight="1" x14ac:dyDescent="0.25">
      <c r="A14" s="3" t="s">
        <v>9</v>
      </c>
      <c r="B14" s="4" t="s">
        <v>61</v>
      </c>
      <c r="C14" s="5">
        <v>19000</v>
      </c>
      <c r="D14" s="7"/>
      <c r="E14" s="5">
        <f t="shared" si="0"/>
        <v>2850</v>
      </c>
      <c r="F14" s="5">
        <v>800</v>
      </c>
      <c r="G14" s="5">
        <f t="shared" si="1"/>
        <v>2050</v>
      </c>
      <c r="H14" s="4"/>
    </row>
    <row r="15" spans="1:8" ht="21.75" customHeight="1" x14ac:dyDescent="0.25">
      <c r="A15" s="3"/>
      <c r="B15" s="4" t="s">
        <v>64</v>
      </c>
      <c r="C15" s="5" t="s">
        <v>65</v>
      </c>
      <c r="D15" s="7" t="s">
        <v>67</v>
      </c>
      <c r="E15" s="5"/>
      <c r="F15" s="5"/>
      <c r="G15" s="5"/>
      <c r="H15" s="14" t="s">
        <v>69</v>
      </c>
    </row>
    <row r="16" spans="1:8" ht="21.75" customHeight="1" x14ac:dyDescent="0.25">
      <c r="A16" s="3"/>
      <c r="B16" s="4" t="s">
        <v>72</v>
      </c>
      <c r="C16" s="5" t="s">
        <v>73</v>
      </c>
      <c r="D16" s="7" t="s">
        <v>67</v>
      </c>
      <c r="E16" s="5"/>
      <c r="F16" s="5"/>
      <c r="G16" s="5"/>
      <c r="H16" s="14"/>
    </row>
    <row r="17" spans="1:8" ht="21.75" customHeight="1" x14ac:dyDescent="0.25">
      <c r="A17" s="15" t="s">
        <v>75</v>
      </c>
      <c r="B17" s="16" t="s">
        <v>79</v>
      </c>
      <c r="C17" s="17">
        <v>2250</v>
      </c>
      <c r="D17" s="18" t="s">
        <v>82</v>
      </c>
      <c r="E17" s="17">
        <f t="shared" ref="E17:E133" si="2">C17*0.15</f>
        <v>337.5</v>
      </c>
      <c r="F17" s="17">
        <v>100</v>
      </c>
      <c r="G17" s="17">
        <f t="shared" ref="G17:G133" si="3">E17-F17</f>
        <v>237.5</v>
      </c>
      <c r="H17" s="19" t="s">
        <v>90</v>
      </c>
    </row>
    <row r="18" spans="1:8" ht="21.75" customHeight="1" x14ac:dyDescent="0.25">
      <c r="A18" s="15" t="s">
        <v>75</v>
      </c>
      <c r="B18" s="16" t="s">
        <v>98</v>
      </c>
      <c r="C18" s="17">
        <v>2250</v>
      </c>
      <c r="D18" s="18" t="s">
        <v>82</v>
      </c>
      <c r="E18" s="17">
        <f t="shared" si="2"/>
        <v>337.5</v>
      </c>
      <c r="F18" s="17">
        <v>100</v>
      </c>
      <c r="G18" s="17">
        <f t="shared" si="3"/>
        <v>237.5</v>
      </c>
      <c r="H18" s="16" t="s">
        <v>99</v>
      </c>
    </row>
    <row r="19" spans="1:8" ht="21.75" customHeight="1" x14ac:dyDescent="0.25">
      <c r="A19" s="15" t="s">
        <v>75</v>
      </c>
      <c r="B19" s="16" t="s">
        <v>100</v>
      </c>
      <c r="C19" s="17">
        <v>2250</v>
      </c>
      <c r="D19" s="18" t="s">
        <v>82</v>
      </c>
      <c r="E19" s="17">
        <f t="shared" si="2"/>
        <v>337.5</v>
      </c>
      <c r="F19" s="17">
        <v>100</v>
      </c>
      <c r="G19" s="17">
        <f t="shared" si="3"/>
        <v>237.5</v>
      </c>
      <c r="H19" s="16" t="s">
        <v>101</v>
      </c>
    </row>
    <row r="20" spans="1:8" ht="21.75" customHeight="1" x14ac:dyDescent="0.25">
      <c r="A20" s="15" t="s">
        <v>75</v>
      </c>
      <c r="B20" s="16" t="s">
        <v>102</v>
      </c>
      <c r="C20" s="17">
        <v>1800</v>
      </c>
      <c r="D20" s="18" t="s">
        <v>103</v>
      </c>
      <c r="E20" s="17">
        <f t="shared" si="2"/>
        <v>270</v>
      </c>
      <c r="F20" s="17">
        <v>70</v>
      </c>
      <c r="G20" s="17">
        <f t="shared" si="3"/>
        <v>200</v>
      </c>
      <c r="H20" s="16"/>
    </row>
    <row r="21" spans="1:8" ht="21.75" customHeight="1" x14ac:dyDescent="0.25">
      <c r="A21" s="15" t="s">
        <v>75</v>
      </c>
      <c r="B21" s="16" t="s">
        <v>104</v>
      </c>
      <c r="C21" s="17">
        <v>2750</v>
      </c>
      <c r="D21" s="18" t="s">
        <v>105</v>
      </c>
      <c r="E21" s="17">
        <f t="shared" si="2"/>
        <v>412.5</v>
      </c>
      <c r="F21" s="17">
        <v>100</v>
      </c>
      <c r="G21" s="17">
        <f t="shared" si="3"/>
        <v>312.5</v>
      </c>
      <c r="H21" s="20" t="s">
        <v>106</v>
      </c>
    </row>
    <row r="22" spans="1:8" ht="21.75" customHeight="1" x14ac:dyDescent="0.25">
      <c r="A22" s="15" t="s">
        <v>75</v>
      </c>
      <c r="B22" s="16" t="s">
        <v>107</v>
      </c>
      <c r="C22" s="17">
        <v>2500</v>
      </c>
      <c r="D22" s="18" t="s">
        <v>108</v>
      </c>
      <c r="E22" s="17">
        <f t="shared" si="2"/>
        <v>375</v>
      </c>
      <c r="F22" s="17">
        <v>100</v>
      </c>
      <c r="G22" s="17">
        <f t="shared" si="3"/>
        <v>275</v>
      </c>
      <c r="H22" s="20" t="s">
        <v>109</v>
      </c>
    </row>
    <row r="23" spans="1:8" ht="21.75" customHeight="1" x14ac:dyDescent="0.25">
      <c r="A23" s="15" t="s">
        <v>75</v>
      </c>
      <c r="B23" s="16" t="s">
        <v>110</v>
      </c>
      <c r="C23" s="17">
        <v>2500</v>
      </c>
      <c r="D23" s="18" t="s">
        <v>108</v>
      </c>
      <c r="E23" s="17">
        <f t="shared" si="2"/>
        <v>375</v>
      </c>
      <c r="F23" s="17">
        <v>100</v>
      </c>
      <c r="G23" s="17">
        <f t="shared" si="3"/>
        <v>275</v>
      </c>
      <c r="H23" s="20" t="s">
        <v>111</v>
      </c>
    </row>
    <row r="24" spans="1:8" ht="21.75" customHeight="1" x14ac:dyDescent="0.25">
      <c r="A24" s="15" t="s">
        <v>75</v>
      </c>
      <c r="B24" s="16" t="s">
        <v>112</v>
      </c>
      <c r="C24" s="17">
        <v>855</v>
      </c>
      <c r="D24" s="18" t="s">
        <v>113</v>
      </c>
      <c r="E24" s="17">
        <f t="shared" si="2"/>
        <v>128.25</v>
      </c>
      <c r="F24" s="17">
        <v>35</v>
      </c>
      <c r="G24" s="17">
        <f t="shared" si="3"/>
        <v>93.25</v>
      </c>
      <c r="H24" s="16"/>
    </row>
    <row r="25" spans="1:8" ht="21.75" customHeight="1" x14ac:dyDescent="0.25">
      <c r="A25" s="15"/>
      <c r="B25" s="16"/>
      <c r="C25" s="17"/>
      <c r="D25" s="18"/>
      <c r="E25" s="17"/>
      <c r="F25" s="17"/>
      <c r="G25" s="17"/>
      <c r="H25" s="16"/>
    </row>
    <row r="26" spans="1:8" ht="21.75" customHeight="1" x14ac:dyDescent="0.25">
      <c r="A26" s="15" t="s">
        <v>339</v>
      </c>
      <c r="B26" s="16"/>
      <c r="C26" s="17"/>
      <c r="D26" s="18"/>
      <c r="E26" s="17"/>
      <c r="F26" s="17"/>
      <c r="G26" s="17"/>
      <c r="H26" s="16" t="s">
        <v>340</v>
      </c>
    </row>
    <row r="27" spans="1:8" ht="21.75" customHeight="1" x14ac:dyDescent="0.25">
      <c r="A27" s="15" t="s">
        <v>351</v>
      </c>
      <c r="B27" s="16"/>
      <c r="C27" s="17"/>
      <c r="D27" s="18"/>
      <c r="E27" s="17"/>
      <c r="F27" s="17"/>
      <c r="G27" s="17"/>
      <c r="H27" s="16" t="s">
        <v>352</v>
      </c>
    </row>
    <row r="28" spans="1:8" ht="21.75" customHeight="1" x14ac:dyDescent="0.25">
      <c r="A28" s="62" t="s">
        <v>354</v>
      </c>
      <c r="B28" s="16"/>
      <c r="C28" s="17"/>
      <c r="D28" s="18"/>
      <c r="E28" s="17"/>
      <c r="F28" s="17"/>
      <c r="G28" s="17"/>
      <c r="H28" s="63" t="s">
        <v>355</v>
      </c>
    </row>
    <row r="29" spans="1:8" ht="21.75" customHeight="1" x14ac:dyDescent="0.25">
      <c r="A29" s="62" t="s">
        <v>356</v>
      </c>
      <c r="B29" s="16"/>
      <c r="C29" s="17"/>
      <c r="D29" s="18"/>
      <c r="E29" s="17"/>
      <c r="F29" s="17"/>
      <c r="G29" s="17"/>
      <c r="H29" s="16" t="s">
        <v>357</v>
      </c>
    </row>
    <row r="30" spans="1:8" ht="21.75" customHeight="1" x14ac:dyDescent="0.25">
      <c r="A30" s="62"/>
      <c r="B30" s="16"/>
      <c r="C30" s="17"/>
      <c r="D30" s="18"/>
      <c r="E30" s="17"/>
      <c r="F30" s="17"/>
      <c r="G30" s="17"/>
      <c r="H30" s="16"/>
    </row>
    <row r="31" spans="1:8" ht="21.75" customHeight="1" x14ac:dyDescent="0.25">
      <c r="A31" s="62" t="s">
        <v>385</v>
      </c>
      <c r="B31" s="16"/>
      <c r="C31" s="17"/>
      <c r="D31" s="18"/>
      <c r="E31" s="17"/>
      <c r="F31" s="17"/>
      <c r="G31" s="17"/>
      <c r="H31" s="16" t="s">
        <v>384</v>
      </c>
    </row>
    <row r="32" spans="1:8" ht="21.75" customHeight="1" x14ac:dyDescent="0.25">
      <c r="A32" s="62" t="s">
        <v>386</v>
      </c>
      <c r="B32" s="16"/>
      <c r="C32" s="17"/>
      <c r="D32" s="18"/>
      <c r="E32" s="17"/>
      <c r="F32" s="17"/>
      <c r="G32" s="17"/>
      <c r="H32" s="16" t="s">
        <v>387</v>
      </c>
    </row>
    <row r="33" spans="1:8" ht="21.75" customHeight="1" x14ac:dyDescent="0.25">
      <c r="A33" s="62" t="s">
        <v>389</v>
      </c>
      <c r="B33" s="16"/>
      <c r="C33" s="17"/>
      <c r="D33" s="18"/>
      <c r="E33" s="17"/>
      <c r="F33" s="17"/>
      <c r="G33" s="17"/>
      <c r="H33" s="16" t="s">
        <v>388</v>
      </c>
    </row>
    <row r="34" spans="1:8" ht="21.75" customHeight="1" x14ac:dyDescent="0.25">
      <c r="A34" s="62"/>
      <c r="B34" s="16"/>
      <c r="C34" s="17"/>
      <c r="D34" s="18"/>
      <c r="E34" s="17"/>
      <c r="F34" s="17"/>
      <c r="G34" s="17"/>
      <c r="H34" s="16"/>
    </row>
    <row r="35" spans="1:8" ht="21.75" customHeight="1" x14ac:dyDescent="0.25">
      <c r="A35" s="62" t="s">
        <v>391</v>
      </c>
      <c r="B35" s="16"/>
      <c r="C35" s="17"/>
      <c r="D35" s="18"/>
      <c r="E35" s="17"/>
      <c r="F35" s="17"/>
      <c r="G35" s="17"/>
      <c r="H35" s="16" t="s">
        <v>390</v>
      </c>
    </row>
    <row r="36" spans="1:8" ht="21.75" customHeight="1" x14ac:dyDescent="0.25">
      <c r="A36" s="62"/>
      <c r="B36" s="16"/>
      <c r="C36" s="17"/>
      <c r="D36" s="18"/>
      <c r="E36" s="17"/>
      <c r="F36" s="17"/>
      <c r="G36" s="17"/>
      <c r="H36" s="16"/>
    </row>
    <row r="37" spans="1:8" ht="21.75" customHeight="1" x14ac:dyDescent="0.25">
      <c r="A37" s="62" t="s">
        <v>392</v>
      </c>
      <c r="B37" s="16"/>
      <c r="C37" s="17"/>
      <c r="D37" s="18"/>
      <c r="E37" s="17"/>
      <c r="F37" s="17"/>
      <c r="G37" s="17"/>
      <c r="H37" s="63" t="s">
        <v>393</v>
      </c>
    </row>
    <row r="38" spans="1:8" ht="21.75" customHeight="1" x14ac:dyDescent="0.25">
      <c r="A38" s="62"/>
      <c r="B38" s="16"/>
      <c r="C38" s="17"/>
      <c r="D38" s="18"/>
      <c r="E38" s="17"/>
      <c r="F38" s="17"/>
      <c r="G38" s="17"/>
      <c r="H38" s="16"/>
    </row>
    <row r="39" spans="1:8" ht="21.75" customHeight="1" x14ac:dyDescent="0.25">
      <c r="A39" s="62" t="s">
        <v>394</v>
      </c>
      <c r="B39" s="16"/>
      <c r="C39" s="17"/>
      <c r="D39" s="18"/>
      <c r="E39" s="17"/>
      <c r="F39" s="17"/>
      <c r="G39" s="17"/>
      <c r="H39" s="63" t="s">
        <v>395</v>
      </c>
    </row>
    <row r="40" spans="1:8" ht="21.75" customHeight="1" x14ac:dyDescent="0.25">
      <c r="A40" s="62"/>
      <c r="B40" s="16"/>
      <c r="C40" s="17"/>
      <c r="D40" s="18"/>
      <c r="E40" s="17"/>
      <c r="F40" s="17"/>
      <c r="G40" s="17"/>
      <c r="H40" s="16"/>
    </row>
    <row r="41" spans="1:8" ht="21.75" customHeight="1" x14ac:dyDescent="0.25">
      <c r="A41" s="62" t="s">
        <v>400</v>
      </c>
      <c r="B41" s="16"/>
      <c r="C41" s="17"/>
      <c r="D41" s="18"/>
      <c r="E41" s="17"/>
      <c r="F41" s="17"/>
      <c r="G41" s="17"/>
      <c r="H41" s="16" t="s">
        <v>401</v>
      </c>
    </row>
    <row r="42" spans="1:8" ht="21.75" customHeight="1" x14ac:dyDescent="0.25">
      <c r="A42" s="62"/>
      <c r="B42" s="16"/>
      <c r="C42" s="17"/>
      <c r="D42" s="18"/>
      <c r="E42" s="17"/>
      <c r="F42" s="17"/>
      <c r="G42" s="17"/>
      <c r="H42" s="16"/>
    </row>
    <row r="43" spans="1:8" ht="21.75" customHeight="1" x14ac:dyDescent="0.25">
      <c r="A43" s="62"/>
      <c r="B43" s="16"/>
      <c r="C43" s="17"/>
      <c r="D43" s="18"/>
      <c r="E43" s="17"/>
      <c r="F43" s="17"/>
      <c r="G43" s="17"/>
      <c r="H43" s="16"/>
    </row>
    <row r="44" spans="1:8" ht="21.75" customHeight="1" x14ac:dyDescent="0.25">
      <c r="A44" s="62"/>
      <c r="B44" s="16"/>
      <c r="C44" s="17"/>
      <c r="D44" s="18"/>
      <c r="E44" s="17"/>
      <c r="F44" s="17"/>
      <c r="G44" s="17"/>
      <c r="H44" s="16"/>
    </row>
    <row r="45" spans="1:8" ht="21.75" customHeight="1" x14ac:dyDescent="0.25">
      <c r="A45" s="62"/>
      <c r="B45" s="16"/>
      <c r="C45" s="17"/>
      <c r="D45" s="18"/>
      <c r="E45" s="17"/>
      <c r="F45" s="17"/>
      <c r="G45" s="17"/>
      <c r="H45" s="16"/>
    </row>
    <row r="46" spans="1:8" ht="21.75" customHeight="1" x14ac:dyDescent="0.25">
      <c r="A46" s="62" t="s">
        <v>358</v>
      </c>
      <c r="B46" s="16"/>
      <c r="C46" s="17"/>
      <c r="D46" s="18"/>
      <c r="E46" s="17"/>
      <c r="F46" s="17"/>
      <c r="G46" s="17"/>
      <c r="H46" s="63" t="s">
        <v>359</v>
      </c>
    </row>
    <row r="47" spans="1:8" ht="21.75" customHeight="1" x14ac:dyDescent="0.25">
      <c r="A47" s="62" t="s">
        <v>360</v>
      </c>
      <c r="B47" s="16"/>
      <c r="C47" s="17"/>
      <c r="D47" s="18"/>
      <c r="E47" s="17"/>
      <c r="F47" s="17"/>
      <c r="G47" s="17"/>
      <c r="H47" s="16" t="s">
        <v>363</v>
      </c>
    </row>
    <row r="48" spans="1:8" ht="21.75" customHeight="1" x14ac:dyDescent="0.25">
      <c r="A48" s="62" t="s">
        <v>361</v>
      </c>
      <c r="B48" s="16"/>
      <c r="C48" s="17"/>
      <c r="D48" s="18"/>
      <c r="E48" s="17"/>
      <c r="F48" s="17"/>
      <c r="G48" s="17"/>
      <c r="H48" s="16" t="s">
        <v>364</v>
      </c>
    </row>
    <row r="49" spans="1:8" ht="21.75" customHeight="1" x14ac:dyDescent="0.25">
      <c r="A49" s="15" t="s">
        <v>362</v>
      </c>
      <c r="B49" s="16"/>
      <c r="C49" s="17"/>
      <c r="D49" s="18"/>
      <c r="E49" s="17"/>
      <c r="F49" s="17"/>
      <c r="G49" s="17"/>
      <c r="H49" s="16" t="s">
        <v>365</v>
      </c>
    </row>
    <row r="50" spans="1:8" ht="21.75" customHeight="1" x14ac:dyDescent="0.25">
      <c r="A50" s="15"/>
      <c r="B50" s="16"/>
      <c r="C50" s="17"/>
      <c r="D50" s="18"/>
      <c r="E50" s="17"/>
      <c r="F50" s="17"/>
      <c r="G50" s="17"/>
      <c r="H50" s="16"/>
    </row>
    <row r="51" spans="1:8" ht="21.75" customHeight="1" x14ac:dyDescent="0.25">
      <c r="A51" s="62" t="s">
        <v>367</v>
      </c>
      <c r="B51" s="16"/>
      <c r="C51" s="17"/>
      <c r="D51" s="18"/>
      <c r="E51" s="17"/>
      <c r="F51" s="17"/>
      <c r="G51" s="17"/>
      <c r="H51" s="63" t="s">
        <v>366</v>
      </c>
    </row>
    <row r="52" spans="1:8" ht="21.75" customHeight="1" x14ac:dyDescent="0.25">
      <c r="A52" s="62" t="s">
        <v>369</v>
      </c>
      <c r="B52" s="16"/>
      <c r="C52" s="17"/>
      <c r="D52" s="18"/>
      <c r="E52" s="17"/>
      <c r="F52" s="17"/>
      <c r="G52" s="17"/>
      <c r="H52" s="63" t="s">
        <v>368</v>
      </c>
    </row>
    <row r="53" spans="1:8" ht="21.75" customHeight="1" x14ac:dyDescent="0.25">
      <c r="A53" s="62" t="s">
        <v>370</v>
      </c>
      <c r="B53" s="16"/>
      <c r="C53" s="17"/>
      <c r="D53" s="18"/>
      <c r="E53" s="17"/>
      <c r="F53" s="17"/>
      <c r="G53" s="17"/>
      <c r="H53" s="16" t="s">
        <v>371</v>
      </c>
    </row>
    <row r="54" spans="1:8" ht="21.75" customHeight="1" x14ac:dyDescent="0.25">
      <c r="A54" s="15"/>
      <c r="B54" s="16"/>
      <c r="C54" s="17"/>
      <c r="D54" s="18"/>
      <c r="E54" s="17"/>
      <c r="F54" s="17"/>
      <c r="G54" s="17"/>
      <c r="H54" s="16"/>
    </row>
    <row r="55" spans="1:8" ht="21.75" customHeight="1" x14ac:dyDescent="0.25">
      <c r="A55" s="62" t="s">
        <v>373</v>
      </c>
      <c r="B55" s="16"/>
      <c r="C55" s="17"/>
      <c r="D55" s="18"/>
      <c r="E55" s="17"/>
      <c r="F55" s="17"/>
      <c r="G55" s="17"/>
      <c r="H55" s="63" t="s">
        <v>372</v>
      </c>
    </row>
    <row r="56" spans="1:8" ht="21.75" customHeight="1" x14ac:dyDescent="0.25">
      <c r="A56" s="62" t="s">
        <v>374</v>
      </c>
      <c r="B56" s="16"/>
      <c r="C56" s="17"/>
      <c r="D56" s="18"/>
      <c r="E56" s="17"/>
      <c r="F56" s="17"/>
      <c r="G56" s="17"/>
      <c r="H56" s="63" t="s">
        <v>376</v>
      </c>
    </row>
    <row r="57" spans="1:8" ht="21.75" customHeight="1" x14ac:dyDescent="0.25">
      <c r="A57" s="15" t="s">
        <v>375</v>
      </c>
      <c r="B57" s="16"/>
      <c r="C57" s="17"/>
      <c r="D57" s="18"/>
      <c r="E57" s="17"/>
      <c r="F57" s="17"/>
      <c r="G57" s="17"/>
      <c r="H57" s="16" t="s">
        <v>377</v>
      </c>
    </row>
    <row r="58" spans="1:8" ht="21.75" customHeight="1" x14ac:dyDescent="0.25">
      <c r="A58" s="15"/>
      <c r="B58" s="16"/>
      <c r="C58" s="17"/>
      <c r="D58" s="18"/>
      <c r="E58" s="17"/>
      <c r="F58" s="17"/>
      <c r="G58" s="17"/>
      <c r="H58" s="16"/>
    </row>
    <row r="59" spans="1:8" ht="21.75" customHeight="1" x14ac:dyDescent="0.25">
      <c r="A59" s="62" t="s">
        <v>378</v>
      </c>
      <c r="B59" s="16"/>
      <c r="C59" s="17"/>
      <c r="D59" s="18"/>
      <c r="E59" s="17"/>
      <c r="F59" s="17"/>
      <c r="G59" s="17"/>
      <c r="H59" s="63" t="s">
        <v>379</v>
      </c>
    </row>
    <row r="60" spans="1:8" ht="21.75" customHeight="1" x14ac:dyDescent="0.25">
      <c r="A60" s="15" t="s">
        <v>381</v>
      </c>
      <c r="B60" s="16"/>
      <c r="C60" s="17"/>
      <c r="D60" s="18"/>
      <c r="E60" s="17"/>
      <c r="F60" s="17"/>
      <c r="G60" s="17"/>
      <c r="H60" s="16" t="s">
        <v>380</v>
      </c>
    </row>
    <row r="61" spans="1:8" ht="21.75" customHeight="1" x14ac:dyDescent="0.25">
      <c r="A61" s="15" t="s">
        <v>382</v>
      </c>
      <c r="B61" s="16"/>
      <c r="C61" s="17"/>
      <c r="D61" s="18"/>
      <c r="E61" s="17"/>
      <c r="F61" s="17"/>
      <c r="G61" s="17"/>
      <c r="H61" s="16" t="s">
        <v>383</v>
      </c>
    </row>
    <row r="62" spans="1:8" ht="21.75" customHeight="1" x14ac:dyDescent="0.25">
      <c r="A62" s="15"/>
      <c r="B62" s="16"/>
      <c r="C62" s="17"/>
      <c r="D62" s="18"/>
      <c r="E62" s="17"/>
      <c r="F62" s="17"/>
      <c r="G62" s="17"/>
      <c r="H62" s="16"/>
    </row>
    <row r="63" spans="1:8" ht="21.75" customHeight="1" x14ac:dyDescent="0.25">
      <c r="A63" s="15"/>
      <c r="B63" s="16"/>
      <c r="C63" s="17"/>
      <c r="D63" s="18"/>
      <c r="E63" s="17"/>
      <c r="F63" s="17"/>
      <c r="G63" s="17"/>
      <c r="H63" s="16"/>
    </row>
    <row r="64" spans="1:8" ht="21.75" customHeight="1" x14ac:dyDescent="0.25">
      <c r="A64" s="15" t="s">
        <v>402</v>
      </c>
      <c r="B64" s="16"/>
      <c r="C64" s="64" t="s">
        <v>403</v>
      </c>
      <c r="D64" s="18"/>
      <c r="E64" s="17"/>
      <c r="F64" s="17"/>
      <c r="G64" s="17"/>
      <c r="H64" s="16" t="s">
        <v>404</v>
      </c>
    </row>
    <row r="65" spans="1:8" ht="21.75" customHeight="1" x14ac:dyDescent="0.25">
      <c r="A65" s="15" t="s">
        <v>154</v>
      </c>
      <c r="B65" s="16"/>
      <c r="C65" s="17"/>
      <c r="D65" s="18"/>
      <c r="E65" s="17"/>
      <c r="F65" s="17"/>
      <c r="G65" s="17"/>
      <c r="H65" s="16" t="s">
        <v>405</v>
      </c>
    </row>
    <row r="66" spans="1:8" ht="21.75" customHeight="1" x14ac:dyDescent="0.25">
      <c r="A66" s="15"/>
      <c r="B66" s="16"/>
      <c r="C66" s="17"/>
      <c r="D66" s="18"/>
      <c r="E66" s="17"/>
      <c r="F66" s="17"/>
      <c r="G66" s="17"/>
      <c r="H66" s="16"/>
    </row>
    <row r="67" spans="1:8" ht="21.75" customHeight="1" x14ac:dyDescent="0.25">
      <c r="A67" s="15"/>
      <c r="B67" s="16"/>
      <c r="C67" s="17"/>
      <c r="D67" s="18"/>
      <c r="E67" s="17"/>
      <c r="F67" s="17"/>
      <c r="G67" s="17"/>
      <c r="H67" s="16"/>
    </row>
    <row r="68" spans="1:8" ht="21.75" customHeight="1" x14ac:dyDescent="0.25">
      <c r="A68" s="15" t="s">
        <v>153</v>
      </c>
      <c r="B68" s="16"/>
      <c r="C68" s="17"/>
      <c r="D68" s="18"/>
      <c r="E68" s="17"/>
      <c r="F68" s="17"/>
      <c r="G68" s="17"/>
      <c r="H68" s="16" t="s">
        <v>406</v>
      </c>
    </row>
    <row r="69" spans="1:8" ht="21.75" customHeight="1" x14ac:dyDescent="0.25">
      <c r="A69" s="15"/>
      <c r="B69" s="16"/>
      <c r="C69" s="17"/>
      <c r="D69" s="18"/>
      <c r="E69" s="17"/>
      <c r="F69" s="17"/>
      <c r="G69" s="17"/>
      <c r="H69" s="16"/>
    </row>
    <row r="70" spans="1:8" ht="21.75" customHeight="1" x14ac:dyDescent="0.25">
      <c r="A70" s="15" t="s">
        <v>150</v>
      </c>
      <c r="B70" s="16"/>
      <c r="C70" s="17"/>
      <c r="D70" s="18"/>
      <c r="E70" s="17"/>
      <c r="F70" s="17"/>
      <c r="G70" s="17"/>
      <c r="H70" s="16" t="s">
        <v>407</v>
      </c>
    </row>
    <row r="71" spans="1:8" ht="21.75" customHeight="1" x14ac:dyDescent="0.25">
      <c r="A71" s="15"/>
      <c r="B71" s="16"/>
      <c r="C71" s="17"/>
      <c r="D71" s="18"/>
      <c r="E71" s="17"/>
      <c r="F71" s="17"/>
      <c r="G71" s="17"/>
      <c r="H71" s="16"/>
    </row>
    <row r="72" spans="1:8" ht="21.75" customHeight="1" x14ac:dyDescent="0.25">
      <c r="A72" s="15"/>
      <c r="B72" s="16"/>
      <c r="C72" s="17"/>
      <c r="D72" s="18"/>
      <c r="E72" s="17"/>
      <c r="F72" s="17"/>
      <c r="G72" s="17"/>
      <c r="H72" s="16"/>
    </row>
    <row r="73" spans="1:8" ht="21.75" customHeight="1" x14ac:dyDescent="0.25">
      <c r="A73" s="15" t="s">
        <v>408</v>
      </c>
      <c r="B73" s="16"/>
      <c r="C73" s="17"/>
      <c r="D73" s="18"/>
      <c r="E73" s="17"/>
      <c r="F73" s="17"/>
      <c r="G73" s="17"/>
      <c r="H73" s="16" t="s">
        <v>409</v>
      </c>
    </row>
    <row r="74" spans="1:8" ht="21.75" customHeight="1" x14ac:dyDescent="0.25">
      <c r="A74" s="15"/>
      <c r="B74" s="16"/>
      <c r="C74" s="17"/>
      <c r="D74" s="18"/>
      <c r="E74" s="17"/>
      <c r="F74" s="17"/>
      <c r="G74" s="17"/>
      <c r="H74" s="16"/>
    </row>
    <row r="75" spans="1:8" ht="21.75" customHeight="1" x14ac:dyDescent="0.25">
      <c r="A75" s="15"/>
      <c r="B75" s="16"/>
      <c r="C75" s="17"/>
      <c r="D75" s="18"/>
      <c r="E75" s="17"/>
      <c r="F75" s="17"/>
      <c r="G75" s="17"/>
      <c r="H75" s="16"/>
    </row>
    <row r="76" spans="1:8" ht="21.75" customHeight="1" x14ac:dyDescent="0.25">
      <c r="A76" s="62" t="s">
        <v>353</v>
      </c>
      <c r="B76" s="16"/>
      <c r="C76" s="17"/>
      <c r="D76" s="18"/>
      <c r="E76" s="17"/>
      <c r="F76" s="17"/>
      <c r="G76" s="17"/>
      <c r="H76" s="16"/>
    </row>
    <row r="77" spans="1:8" ht="21.75" customHeight="1" x14ac:dyDescent="0.25">
      <c r="A77" s="62" t="s">
        <v>341</v>
      </c>
      <c r="B77" s="16"/>
      <c r="C77" s="17"/>
      <c r="D77" s="18"/>
      <c r="E77" s="17"/>
      <c r="F77" s="17"/>
      <c r="G77" s="17"/>
      <c r="H77" s="16" t="s">
        <v>342</v>
      </c>
    </row>
    <row r="78" spans="1:8" ht="21.75" customHeight="1" x14ac:dyDescent="0.25">
      <c r="A78" s="15" t="s">
        <v>344</v>
      </c>
      <c r="B78" s="16"/>
      <c r="C78" s="17"/>
      <c r="D78" s="18"/>
      <c r="E78" s="17"/>
      <c r="F78" s="17"/>
      <c r="G78" s="17"/>
      <c r="H78" s="16" t="s">
        <v>343</v>
      </c>
    </row>
    <row r="79" spans="1:8" ht="21.75" customHeight="1" x14ac:dyDescent="0.25">
      <c r="A79" s="15" t="s">
        <v>396</v>
      </c>
      <c r="B79" s="16"/>
      <c r="C79" s="17"/>
      <c r="D79" s="18"/>
      <c r="E79" s="17"/>
      <c r="F79" s="17"/>
      <c r="G79" s="17"/>
      <c r="H79" s="16" t="s">
        <v>399</v>
      </c>
    </row>
    <row r="80" spans="1:8" ht="21.75" customHeight="1" x14ac:dyDescent="0.25">
      <c r="A80" s="15" t="s">
        <v>397</v>
      </c>
      <c r="B80" s="16"/>
      <c r="C80" s="17"/>
      <c r="D80" s="18"/>
      <c r="E80" s="17"/>
      <c r="F80" s="17"/>
      <c r="G80" s="17"/>
      <c r="H80" s="63" t="s">
        <v>398</v>
      </c>
    </row>
    <row r="81" spans="1:8" ht="21.75" customHeight="1" x14ac:dyDescent="0.25">
      <c r="A81" s="15"/>
      <c r="B81" s="16"/>
      <c r="C81" s="17"/>
      <c r="D81" s="18"/>
      <c r="E81" s="17"/>
      <c r="F81" s="17"/>
      <c r="G81" s="17"/>
      <c r="H81" s="16"/>
    </row>
    <row r="82" spans="1:8" ht="21.75" customHeight="1" x14ac:dyDescent="0.25">
      <c r="A82" s="15" t="s">
        <v>345</v>
      </c>
      <c r="B82" s="16"/>
      <c r="C82" s="17" t="s">
        <v>347</v>
      </c>
      <c r="D82" s="18"/>
      <c r="E82" s="17"/>
      <c r="F82" s="17"/>
      <c r="G82" s="17"/>
      <c r="H82" s="16" t="s">
        <v>346</v>
      </c>
    </row>
    <row r="83" spans="1:8" ht="21.75" customHeight="1" x14ac:dyDescent="0.25">
      <c r="A83" s="62" t="s">
        <v>349</v>
      </c>
      <c r="B83" s="16"/>
      <c r="C83" s="17" t="s">
        <v>348</v>
      </c>
      <c r="D83" s="18"/>
      <c r="E83" s="17"/>
      <c r="F83" s="17"/>
      <c r="G83" s="17"/>
      <c r="H83" s="16" t="s">
        <v>350</v>
      </c>
    </row>
    <row r="84" spans="1:8" ht="21.75" customHeight="1" x14ac:dyDescent="0.25">
      <c r="A84" s="15"/>
      <c r="B84" s="16"/>
      <c r="C84" s="17"/>
      <c r="D84" s="18"/>
      <c r="E84" s="17"/>
      <c r="F84" s="17"/>
      <c r="G84" s="17"/>
      <c r="H84" s="16"/>
    </row>
    <row r="85" spans="1:8" ht="21.75" customHeight="1" x14ac:dyDescent="0.25">
      <c r="A85" s="15"/>
      <c r="B85" s="16"/>
      <c r="C85" s="17"/>
      <c r="D85" s="18"/>
      <c r="E85" s="17"/>
      <c r="F85" s="17"/>
      <c r="G85" s="17"/>
      <c r="H85" s="16"/>
    </row>
    <row r="86" spans="1:8" ht="21.75" customHeight="1" x14ac:dyDescent="0.25">
      <c r="A86" s="15"/>
      <c r="B86" s="16"/>
      <c r="C86" s="17"/>
      <c r="D86" s="18"/>
      <c r="E86" s="17"/>
      <c r="F86" s="17"/>
      <c r="G86" s="17"/>
      <c r="H86" s="16"/>
    </row>
    <row r="87" spans="1:8" ht="21.75" customHeight="1" x14ac:dyDescent="0.25">
      <c r="A87" s="15"/>
      <c r="B87" s="16"/>
      <c r="C87" s="17"/>
      <c r="D87" s="18"/>
      <c r="E87" s="17"/>
      <c r="F87" s="17"/>
      <c r="G87" s="17"/>
      <c r="H87" s="16"/>
    </row>
    <row r="88" spans="1:8" ht="21.75" customHeight="1" x14ac:dyDescent="0.25">
      <c r="A88" s="15"/>
      <c r="B88" s="16"/>
      <c r="C88" s="17"/>
      <c r="D88" s="18"/>
      <c r="E88" s="17"/>
      <c r="F88" s="17"/>
      <c r="G88" s="17"/>
      <c r="H88" s="16"/>
    </row>
    <row r="89" spans="1:8" ht="21.75" customHeight="1" x14ac:dyDescent="0.25">
      <c r="A89" s="15"/>
      <c r="B89" s="16"/>
      <c r="C89" s="17"/>
      <c r="D89" s="18"/>
      <c r="E89" s="17"/>
      <c r="F89" s="17"/>
      <c r="G89" s="17"/>
      <c r="H89" s="16"/>
    </row>
    <row r="90" spans="1:8" ht="21.75" customHeight="1" x14ac:dyDescent="0.25">
      <c r="A90" s="21" t="s">
        <v>114</v>
      </c>
      <c r="B90" s="22" t="s">
        <v>115</v>
      </c>
      <c r="C90" s="23">
        <v>11500</v>
      </c>
      <c r="D90" s="24" t="s">
        <v>116</v>
      </c>
      <c r="E90" s="23">
        <f>C90*0.15</f>
        <v>1725</v>
      </c>
      <c r="F90" s="23">
        <v>500</v>
      </c>
      <c r="G90" s="23">
        <f>E90-F90</f>
        <v>1225</v>
      </c>
      <c r="H90" s="22"/>
    </row>
    <row r="91" spans="1:8" ht="21.75" customHeight="1" x14ac:dyDescent="0.25">
      <c r="A91" s="21" t="s">
        <v>114</v>
      </c>
      <c r="B91" s="22" t="s">
        <v>117</v>
      </c>
      <c r="C91" s="23">
        <v>8000</v>
      </c>
      <c r="D91" s="24" t="s">
        <v>118</v>
      </c>
      <c r="E91" s="23">
        <f>C91*0.15</f>
        <v>1200</v>
      </c>
      <c r="F91" s="23">
        <v>400</v>
      </c>
      <c r="G91" s="23">
        <f>E91-F91</f>
        <v>800</v>
      </c>
      <c r="H91" s="22"/>
    </row>
    <row r="92" spans="1:8" ht="21.75" customHeight="1" x14ac:dyDescent="0.25">
      <c r="A92" s="21" t="s">
        <v>114</v>
      </c>
      <c r="B92" s="22" t="s">
        <v>119</v>
      </c>
      <c r="C92" s="23">
        <v>5000</v>
      </c>
      <c r="D92" s="24" t="s">
        <v>120</v>
      </c>
      <c r="E92" s="23">
        <f>C92*0.15</f>
        <v>750</v>
      </c>
      <c r="F92" s="23">
        <v>250</v>
      </c>
      <c r="G92" s="23">
        <f>E92-F92</f>
        <v>500</v>
      </c>
      <c r="H92" s="22"/>
    </row>
    <row r="93" spans="1:8" ht="21.75" customHeight="1" x14ac:dyDescent="0.25">
      <c r="A93" s="21" t="s">
        <v>114</v>
      </c>
      <c r="B93" s="22" t="s">
        <v>121</v>
      </c>
      <c r="C93" s="23">
        <v>3000</v>
      </c>
      <c r="D93" s="24" t="s">
        <v>122</v>
      </c>
      <c r="E93" s="23">
        <f>C93*0.15</f>
        <v>450</v>
      </c>
      <c r="F93" s="23">
        <v>150</v>
      </c>
      <c r="G93" s="23">
        <f>E93-F93</f>
        <v>300</v>
      </c>
      <c r="H93" s="22"/>
    </row>
    <row r="94" spans="1:8" ht="21.75" customHeight="1" x14ac:dyDescent="0.25">
      <c r="A94" s="21" t="s">
        <v>114</v>
      </c>
      <c r="B94" s="22" t="s">
        <v>123</v>
      </c>
      <c r="C94" s="23">
        <v>2100</v>
      </c>
      <c r="D94" s="24" t="s">
        <v>124</v>
      </c>
      <c r="E94" s="23">
        <f>C94*0.15</f>
        <v>315</v>
      </c>
      <c r="F94" s="23">
        <v>100</v>
      </c>
      <c r="G94" s="23">
        <f>E94-F94</f>
        <v>215</v>
      </c>
      <c r="H94" s="22"/>
    </row>
    <row r="95" spans="1:8" ht="21.75" customHeight="1" x14ac:dyDescent="0.25">
      <c r="A95" s="21" t="s">
        <v>114</v>
      </c>
      <c r="B95" s="22" t="s">
        <v>125</v>
      </c>
      <c r="C95" s="23">
        <v>1500</v>
      </c>
      <c r="D95" s="24" t="s">
        <v>126</v>
      </c>
      <c r="E95" s="23">
        <f>C95*0.15</f>
        <v>225</v>
      </c>
      <c r="F95" s="23">
        <v>70</v>
      </c>
      <c r="G95" s="23">
        <f>E95-F95</f>
        <v>155</v>
      </c>
      <c r="H95" s="22"/>
    </row>
    <row r="96" spans="1:8" ht="21.75" customHeight="1" x14ac:dyDescent="0.25">
      <c r="A96" s="21" t="s">
        <v>114</v>
      </c>
      <c r="B96" s="22" t="s">
        <v>127</v>
      </c>
      <c r="C96" s="23">
        <v>4500</v>
      </c>
      <c r="D96" s="24" t="s">
        <v>128</v>
      </c>
      <c r="E96" s="23">
        <f>C96*0.15</f>
        <v>675</v>
      </c>
      <c r="F96" s="23">
        <v>200</v>
      </c>
      <c r="G96" s="23">
        <f>E96-F96</f>
        <v>475</v>
      </c>
      <c r="H96" s="25" t="s">
        <v>129</v>
      </c>
    </row>
    <row r="97" spans="1:8" ht="21.75" customHeight="1" x14ac:dyDescent="0.25">
      <c r="A97" s="21" t="s">
        <v>114</v>
      </c>
      <c r="B97" s="22" t="s">
        <v>130</v>
      </c>
      <c r="C97" s="23">
        <v>2250</v>
      </c>
      <c r="D97" s="24" t="s">
        <v>131</v>
      </c>
      <c r="E97" s="23">
        <f t="shared" si="2"/>
        <v>337.5</v>
      </c>
      <c r="F97" s="23">
        <v>100</v>
      </c>
      <c r="G97" s="23">
        <f t="shared" si="3"/>
        <v>237.5</v>
      </c>
      <c r="H97" s="22"/>
    </row>
    <row r="98" spans="1:8" ht="21.75" customHeight="1" x14ac:dyDescent="0.25">
      <c r="A98" s="21" t="s">
        <v>114</v>
      </c>
      <c r="B98" s="22" t="s">
        <v>132</v>
      </c>
      <c r="C98" s="23">
        <v>2000</v>
      </c>
      <c r="D98" s="24" t="s">
        <v>133</v>
      </c>
      <c r="E98" s="23">
        <f t="shared" si="2"/>
        <v>300</v>
      </c>
      <c r="F98" s="23">
        <v>100</v>
      </c>
      <c r="G98" s="23">
        <f t="shared" si="3"/>
        <v>200</v>
      </c>
      <c r="H98" s="22"/>
    </row>
    <row r="99" spans="1:8" ht="21.75" customHeight="1" x14ac:dyDescent="0.25">
      <c r="A99" s="21" t="s">
        <v>114</v>
      </c>
      <c r="B99" s="22" t="s">
        <v>134</v>
      </c>
      <c r="C99" s="23">
        <v>2000</v>
      </c>
      <c r="D99" s="24" t="s">
        <v>133</v>
      </c>
      <c r="E99" s="23">
        <f t="shared" si="2"/>
        <v>300</v>
      </c>
      <c r="F99" s="23">
        <v>100</v>
      </c>
      <c r="G99" s="23">
        <f t="shared" si="3"/>
        <v>200</v>
      </c>
      <c r="H99" s="22"/>
    </row>
    <row r="100" spans="1:8" ht="21.75" customHeight="1" x14ac:dyDescent="0.25">
      <c r="A100" s="21" t="s">
        <v>114</v>
      </c>
      <c r="B100" s="22" t="s">
        <v>135</v>
      </c>
      <c r="C100" s="23">
        <v>2000</v>
      </c>
      <c r="D100" s="24" t="s">
        <v>133</v>
      </c>
      <c r="E100" s="23">
        <f t="shared" si="2"/>
        <v>300</v>
      </c>
      <c r="F100" s="23">
        <v>100</v>
      </c>
      <c r="G100" s="23">
        <f t="shared" si="3"/>
        <v>200</v>
      </c>
      <c r="H100" s="22"/>
    </row>
    <row r="101" spans="1:8" ht="21.75" customHeight="1" x14ac:dyDescent="0.25">
      <c r="A101" s="21" t="s">
        <v>114</v>
      </c>
      <c r="B101" s="22" t="s">
        <v>136</v>
      </c>
      <c r="C101" s="23">
        <v>3100</v>
      </c>
      <c r="D101" s="24" t="s">
        <v>137</v>
      </c>
      <c r="E101" s="23">
        <f t="shared" si="2"/>
        <v>465</v>
      </c>
      <c r="F101" s="23">
        <v>150</v>
      </c>
      <c r="G101" s="23">
        <f t="shared" si="3"/>
        <v>315</v>
      </c>
      <c r="H101" s="26" t="s">
        <v>138</v>
      </c>
    </row>
    <row r="102" spans="1:8" ht="21.75" customHeight="1" x14ac:dyDescent="0.25">
      <c r="A102" s="21" t="s">
        <v>114</v>
      </c>
      <c r="B102" s="22" t="s">
        <v>139</v>
      </c>
      <c r="C102" s="23">
        <v>3100</v>
      </c>
      <c r="D102" s="24" t="s">
        <v>140</v>
      </c>
      <c r="E102" s="23">
        <f t="shared" si="2"/>
        <v>465</v>
      </c>
      <c r="F102" s="23">
        <v>150</v>
      </c>
      <c r="G102" s="23">
        <f t="shared" si="3"/>
        <v>315</v>
      </c>
      <c r="H102" s="26" t="s">
        <v>141</v>
      </c>
    </row>
    <row r="103" spans="1:8" ht="21.75" customHeight="1" x14ac:dyDescent="0.25">
      <c r="A103" s="21" t="s">
        <v>114</v>
      </c>
      <c r="B103" s="22" t="s">
        <v>142</v>
      </c>
      <c r="C103" s="23">
        <v>6300</v>
      </c>
      <c r="D103" s="24" t="s">
        <v>143</v>
      </c>
      <c r="E103" s="23">
        <f t="shared" si="2"/>
        <v>945</v>
      </c>
      <c r="F103" s="23">
        <v>300</v>
      </c>
      <c r="G103" s="23">
        <f t="shared" si="3"/>
        <v>645</v>
      </c>
      <c r="H103" s="26" t="s">
        <v>144</v>
      </c>
    </row>
    <row r="104" spans="1:8" ht="21.75" customHeight="1" x14ac:dyDescent="0.25">
      <c r="A104" s="21" t="s">
        <v>114</v>
      </c>
      <c r="B104" s="22" t="s">
        <v>145</v>
      </c>
      <c r="C104" s="23">
        <v>6300</v>
      </c>
      <c r="D104" s="24" t="s">
        <v>146</v>
      </c>
      <c r="E104" s="23">
        <f t="shared" si="2"/>
        <v>945</v>
      </c>
      <c r="F104" s="23">
        <v>300</v>
      </c>
      <c r="G104" s="23">
        <f t="shared" si="3"/>
        <v>645</v>
      </c>
      <c r="H104" s="27" t="s">
        <v>147</v>
      </c>
    </row>
    <row r="105" spans="1:8" ht="21.75" customHeight="1" x14ac:dyDescent="0.25">
      <c r="A105" s="21" t="s">
        <v>114</v>
      </c>
      <c r="B105" s="22" t="s">
        <v>148</v>
      </c>
      <c r="C105" s="23">
        <v>4000</v>
      </c>
      <c r="D105" s="24"/>
      <c r="E105" s="23">
        <f t="shared" si="2"/>
        <v>600</v>
      </c>
      <c r="F105" s="23">
        <v>100</v>
      </c>
      <c r="G105" s="23">
        <f t="shared" si="3"/>
        <v>500</v>
      </c>
      <c r="H105" s="25" t="s">
        <v>129</v>
      </c>
    </row>
    <row r="106" spans="1:8" ht="21.75" customHeight="1" x14ac:dyDescent="0.25">
      <c r="A106" s="21"/>
      <c r="B106" s="22"/>
      <c r="C106" s="23"/>
      <c r="D106" s="24"/>
      <c r="E106" s="23"/>
      <c r="F106" s="23"/>
      <c r="G106" s="23"/>
      <c r="H106" s="25"/>
    </row>
    <row r="107" spans="1:8" ht="21.75" customHeight="1" x14ac:dyDescent="0.25">
      <c r="A107" s="21"/>
      <c r="B107" s="22"/>
      <c r="C107" s="23"/>
      <c r="D107" s="24"/>
      <c r="E107" s="23"/>
      <c r="F107" s="23"/>
      <c r="G107" s="23"/>
      <c r="H107" s="25"/>
    </row>
    <row r="108" spans="1:8" ht="21.75" customHeight="1" x14ac:dyDescent="0.25">
      <c r="A108" s="28" t="s">
        <v>165</v>
      </c>
      <c r="B108" s="29" t="s">
        <v>167</v>
      </c>
      <c r="C108" s="30">
        <v>1690</v>
      </c>
      <c r="D108" s="31" t="s">
        <v>170</v>
      </c>
      <c r="E108" s="30">
        <f t="shared" si="2"/>
        <v>253.5</v>
      </c>
      <c r="F108" s="30">
        <v>100</v>
      </c>
      <c r="G108" s="30">
        <f t="shared" si="3"/>
        <v>153.5</v>
      </c>
      <c r="H108" s="32" t="s">
        <v>173</v>
      </c>
    </row>
    <row r="109" spans="1:8" ht="21.75" customHeight="1" x14ac:dyDescent="0.25">
      <c r="A109" s="28" t="s">
        <v>165</v>
      </c>
      <c r="B109" s="29" t="s">
        <v>175</v>
      </c>
      <c r="C109" s="30">
        <v>3000</v>
      </c>
      <c r="D109" s="31" t="s">
        <v>176</v>
      </c>
      <c r="E109" s="30">
        <f t="shared" si="2"/>
        <v>450</v>
      </c>
      <c r="F109" s="30">
        <v>150</v>
      </c>
      <c r="G109" s="30">
        <f t="shared" si="3"/>
        <v>300</v>
      </c>
      <c r="H109" s="33" t="s">
        <v>178</v>
      </c>
    </row>
    <row r="110" spans="1:8" ht="21.75" customHeight="1" x14ac:dyDescent="0.25">
      <c r="A110" s="28" t="s">
        <v>165</v>
      </c>
      <c r="B110" s="29" t="s">
        <v>185</v>
      </c>
      <c r="C110" s="30">
        <v>7000</v>
      </c>
      <c r="D110" s="31" t="s">
        <v>186</v>
      </c>
      <c r="E110" s="30">
        <f t="shared" si="2"/>
        <v>1050</v>
      </c>
      <c r="F110" s="30">
        <v>300</v>
      </c>
      <c r="G110" s="30">
        <f t="shared" si="3"/>
        <v>750</v>
      </c>
      <c r="H110" s="33" t="s">
        <v>189</v>
      </c>
    </row>
    <row r="111" spans="1:8" ht="21.75" customHeight="1" x14ac:dyDescent="0.25">
      <c r="A111" s="28" t="s">
        <v>165</v>
      </c>
      <c r="B111" s="29" t="s">
        <v>194</v>
      </c>
      <c r="C111" s="30">
        <v>7000</v>
      </c>
      <c r="D111" s="31" t="s">
        <v>195</v>
      </c>
      <c r="E111" s="30">
        <f t="shared" si="2"/>
        <v>1050</v>
      </c>
      <c r="F111" s="30">
        <v>300</v>
      </c>
      <c r="G111" s="30">
        <f t="shared" si="3"/>
        <v>750</v>
      </c>
      <c r="H111" s="34" t="s">
        <v>198</v>
      </c>
    </row>
    <row r="112" spans="1:8" ht="21.75" customHeight="1" x14ac:dyDescent="0.25">
      <c r="A112" s="28" t="s">
        <v>165</v>
      </c>
      <c r="B112" s="29" t="s">
        <v>200</v>
      </c>
      <c r="C112" s="30">
        <v>1950</v>
      </c>
      <c r="D112" s="31" t="s">
        <v>201</v>
      </c>
      <c r="E112" s="30">
        <f t="shared" si="2"/>
        <v>292.5</v>
      </c>
      <c r="F112" s="30">
        <v>100</v>
      </c>
      <c r="G112" s="30">
        <f t="shared" si="3"/>
        <v>192.5</v>
      </c>
      <c r="H112" s="32" t="s">
        <v>202</v>
      </c>
    </row>
    <row r="113" spans="1:8" ht="21.75" customHeight="1" x14ac:dyDescent="0.25">
      <c r="A113" s="28" t="s">
        <v>165</v>
      </c>
      <c r="B113" s="29" t="s">
        <v>203</v>
      </c>
      <c r="C113" s="30">
        <v>1690</v>
      </c>
      <c r="D113" s="31" t="s">
        <v>204</v>
      </c>
      <c r="E113" s="30">
        <f t="shared" si="2"/>
        <v>253.5</v>
      </c>
      <c r="F113" s="30">
        <v>100</v>
      </c>
      <c r="G113" s="30">
        <f t="shared" si="3"/>
        <v>153.5</v>
      </c>
      <c r="H113" s="32" t="s">
        <v>205</v>
      </c>
    </row>
    <row r="114" spans="1:8" ht="21.75" customHeight="1" x14ac:dyDescent="0.25">
      <c r="A114" s="28" t="s">
        <v>165</v>
      </c>
      <c r="B114" s="29" t="s">
        <v>206</v>
      </c>
      <c r="C114" s="30">
        <v>1690</v>
      </c>
      <c r="D114" s="31" t="s">
        <v>207</v>
      </c>
      <c r="E114" s="30">
        <f t="shared" si="2"/>
        <v>253.5</v>
      </c>
      <c r="F114" s="30">
        <v>100</v>
      </c>
      <c r="G114" s="30">
        <f t="shared" si="3"/>
        <v>153.5</v>
      </c>
      <c r="H114" s="32" t="s">
        <v>208</v>
      </c>
    </row>
    <row r="115" spans="1:8" ht="21.75" customHeight="1" x14ac:dyDescent="0.25">
      <c r="A115" s="28" t="s">
        <v>165</v>
      </c>
      <c r="B115" s="29" t="s">
        <v>209</v>
      </c>
      <c r="C115" s="30">
        <v>1050</v>
      </c>
      <c r="D115" s="31" t="s">
        <v>210</v>
      </c>
      <c r="E115" s="30">
        <f t="shared" si="2"/>
        <v>157.5</v>
      </c>
      <c r="F115" s="30">
        <v>50</v>
      </c>
      <c r="G115" s="30">
        <f t="shared" si="3"/>
        <v>107.5</v>
      </c>
      <c r="H115" s="32" t="s">
        <v>211</v>
      </c>
    </row>
    <row r="116" spans="1:8" ht="21.75" customHeight="1" x14ac:dyDescent="0.25">
      <c r="A116" s="28" t="s">
        <v>165</v>
      </c>
      <c r="B116" s="29" t="s">
        <v>212</v>
      </c>
      <c r="C116" s="30">
        <v>1125</v>
      </c>
      <c r="D116" s="31" t="s">
        <v>213</v>
      </c>
      <c r="E116" s="30">
        <f t="shared" si="2"/>
        <v>168.75</v>
      </c>
      <c r="F116" s="30">
        <v>50</v>
      </c>
      <c r="G116" s="30">
        <f t="shared" si="3"/>
        <v>118.75</v>
      </c>
      <c r="H116" s="32" t="s">
        <v>214</v>
      </c>
    </row>
    <row r="117" spans="1:8" ht="21.75" customHeight="1" x14ac:dyDescent="0.25">
      <c r="A117" s="28" t="s">
        <v>165</v>
      </c>
      <c r="B117" s="29" t="s">
        <v>215</v>
      </c>
      <c r="C117" s="30">
        <v>1125</v>
      </c>
      <c r="D117" s="31" t="s">
        <v>216</v>
      </c>
      <c r="E117" s="30">
        <f t="shared" si="2"/>
        <v>168.75</v>
      </c>
      <c r="F117" s="30">
        <v>50</v>
      </c>
      <c r="G117" s="30">
        <f t="shared" si="3"/>
        <v>118.75</v>
      </c>
      <c r="H117" s="32" t="s">
        <v>217</v>
      </c>
    </row>
    <row r="118" spans="1:8" ht="21.75" customHeight="1" x14ac:dyDescent="0.25">
      <c r="A118" s="28" t="s">
        <v>165</v>
      </c>
      <c r="B118" s="29" t="s">
        <v>218</v>
      </c>
      <c r="C118" s="30">
        <v>1275</v>
      </c>
      <c r="D118" s="31" t="s">
        <v>219</v>
      </c>
      <c r="E118" s="30">
        <f t="shared" si="2"/>
        <v>191.25</v>
      </c>
      <c r="F118" s="30">
        <v>50</v>
      </c>
      <c r="G118" s="30">
        <f t="shared" si="3"/>
        <v>141.25</v>
      </c>
      <c r="H118" s="34" t="s">
        <v>220</v>
      </c>
    </row>
    <row r="119" spans="1:8" ht="21.75" customHeight="1" x14ac:dyDescent="0.25">
      <c r="A119" s="28" t="s">
        <v>165</v>
      </c>
      <c r="B119" s="29" t="s">
        <v>221</v>
      </c>
      <c r="C119" s="30">
        <v>3000</v>
      </c>
      <c r="D119" s="31" t="s">
        <v>222</v>
      </c>
      <c r="E119" s="30">
        <f t="shared" si="2"/>
        <v>450</v>
      </c>
      <c r="F119" s="30">
        <v>150</v>
      </c>
      <c r="G119" s="30">
        <f t="shared" si="3"/>
        <v>300</v>
      </c>
      <c r="H119" s="32" t="s">
        <v>223</v>
      </c>
    </row>
    <row r="120" spans="1:8" ht="21.75" customHeight="1" x14ac:dyDescent="0.25">
      <c r="A120" s="28" t="s">
        <v>165</v>
      </c>
      <c r="B120" s="29" t="s">
        <v>224</v>
      </c>
      <c r="C120" s="30">
        <v>3000</v>
      </c>
      <c r="D120" s="31" t="s">
        <v>225</v>
      </c>
      <c r="E120" s="30">
        <f t="shared" si="2"/>
        <v>450</v>
      </c>
      <c r="F120" s="30">
        <v>150</v>
      </c>
      <c r="G120" s="30">
        <f t="shared" si="3"/>
        <v>300</v>
      </c>
      <c r="H120" s="32" t="s">
        <v>226</v>
      </c>
    </row>
    <row r="121" spans="1:8" ht="21.75" customHeight="1" x14ac:dyDescent="0.25">
      <c r="A121" s="28" t="s">
        <v>165</v>
      </c>
      <c r="B121" s="29" t="s">
        <v>227</v>
      </c>
      <c r="C121" s="30">
        <v>2000</v>
      </c>
      <c r="D121" s="31" t="s">
        <v>228</v>
      </c>
      <c r="E121" s="30">
        <f t="shared" si="2"/>
        <v>300</v>
      </c>
      <c r="F121" s="30">
        <v>100</v>
      </c>
      <c r="G121" s="30">
        <f t="shared" si="3"/>
        <v>200</v>
      </c>
      <c r="H121" s="32" t="s">
        <v>229</v>
      </c>
    </row>
    <row r="122" spans="1:8" ht="21.75" customHeight="1" x14ac:dyDescent="0.25">
      <c r="A122" s="28" t="s">
        <v>165</v>
      </c>
      <c r="B122" s="29" t="s">
        <v>230</v>
      </c>
      <c r="C122" s="30">
        <v>1690</v>
      </c>
      <c r="D122" s="31"/>
      <c r="E122" s="30">
        <f t="shared" si="2"/>
        <v>253.5</v>
      </c>
      <c r="F122" s="30">
        <v>100</v>
      </c>
      <c r="G122" s="30">
        <f t="shared" si="3"/>
        <v>153.5</v>
      </c>
      <c r="H122" s="32" t="s">
        <v>231</v>
      </c>
    </row>
    <row r="123" spans="1:8" ht="21.75" customHeight="1" x14ac:dyDescent="0.25">
      <c r="A123" s="28"/>
      <c r="B123" s="29"/>
      <c r="C123" s="30"/>
      <c r="D123" s="31"/>
      <c r="E123" s="30"/>
      <c r="F123" s="30"/>
      <c r="G123" s="30"/>
      <c r="H123" s="32"/>
    </row>
    <row r="124" spans="1:8" ht="21.75" customHeight="1" x14ac:dyDescent="0.25">
      <c r="A124" s="35" t="s">
        <v>232</v>
      </c>
      <c r="B124" s="36" t="s">
        <v>233</v>
      </c>
      <c r="C124" s="37">
        <v>1050</v>
      </c>
      <c r="D124" s="38" t="s">
        <v>234</v>
      </c>
      <c r="E124" s="37">
        <f t="shared" si="2"/>
        <v>157.5</v>
      </c>
      <c r="F124" s="37">
        <v>50</v>
      </c>
      <c r="G124" s="37">
        <f t="shared" si="3"/>
        <v>107.5</v>
      </c>
      <c r="H124" s="39" t="s">
        <v>235</v>
      </c>
    </row>
    <row r="125" spans="1:8" ht="21.75" customHeight="1" x14ac:dyDescent="0.25">
      <c r="A125" s="35" t="s">
        <v>232</v>
      </c>
      <c r="B125" s="36" t="s">
        <v>236</v>
      </c>
      <c r="C125" s="37">
        <v>2500</v>
      </c>
      <c r="D125" s="38" t="s">
        <v>30</v>
      </c>
      <c r="E125" s="37">
        <f t="shared" si="2"/>
        <v>375</v>
      </c>
      <c r="F125" s="37">
        <v>100</v>
      </c>
      <c r="G125" s="37">
        <f t="shared" si="3"/>
        <v>275</v>
      </c>
      <c r="H125" s="36"/>
    </row>
    <row r="126" spans="1:8" ht="21.75" customHeight="1" x14ac:dyDescent="0.25">
      <c r="A126" s="35" t="s">
        <v>232</v>
      </c>
      <c r="B126" s="36" t="s">
        <v>237</v>
      </c>
      <c r="C126" s="37">
        <v>855</v>
      </c>
      <c r="D126" s="38" t="s">
        <v>238</v>
      </c>
      <c r="E126" s="37">
        <f t="shared" si="2"/>
        <v>128.25</v>
      </c>
      <c r="F126" s="37">
        <v>40</v>
      </c>
      <c r="G126" s="37">
        <f t="shared" si="3"/>
        <v>88.25</v>
      </c>
      <c r="H126" s="39" t="s">
        <v>239</v>
      </c>
    </row>
    <row r="127" spans="1:8" ht="21.75" customHeight="1" x14ac:dyDescent="0.25">
      <c r="A127" s="35" t="s">
        <v>232</v>
      </c>
      <c r="B127" s="36" t="s">
        <v>240</v>
      </c>
      <c r="C127" s="37">
        <v>855</v>
      </c>
      <c r="D127" s="38" t="s">
        <v>241</v>
      </c>
      <c r="E127" s="37">
        <f t="shared" si="2"/>
        <v>128.25</v>
      </c>
      <c r="F127" s="37">
        <v>40</v>
      </c>
      <c r="G127" s="37">
        <f t="shared" si="3"/>
        <v>88.25</v>
      </c>
      <c r="H127" s="36"/>
    </row>
    <row r="128" spans="1:8" ht="21.75" customHeight="1" x14ac:dyDescent="0.25">
      <c r="A128" s="35" t="s">
        <v>232</v>
      </c>
      <c r="B128" s="36" t="s">
        <v>242</v>
      </c>
      <c r="C128" s="37">
        <v>855</v>
      </c>
      <c r="D128" s="38" t="s">
        <v>243</v>
      </c>
      <c r="E128" s="37">
        <f t="shared" si="2"/>
        <v>128.25</v>
      </c>
      <c r="F128" s="37">
        <v>40</v>
      </c>
      <c r="G128" s="37">
        <f t="shared" si="3"/>
        <v>88.25</v>
      </c>
      <c r="H128" s="36"/>
    </row>
    <row r="129" spans="1:8" ht="21.75" customHeight="1" x14ac:dyDescent="0.25">
      <c r="A129" s="35" t="s">
        <v>232</v>
      </c>
      <c r="B129" s="36" t="s">
        <v>244</v>
      </c>
      <c r="C129" s="37">
        <v>1125</v>
      </c>
      <c r="D129" s="38" t="s">
        <v>245</v>
      </c>
      <c r="E129" s="37">
        <f t="shared" si="2"/>
        <v>168.75</v>
      </c>
      <c r="F129" s="37">
        <v>50</v>
      </c>
      <c r="G129" s="37">
        <f t="shared" si="3"/>
        <v>118.75</v>
      </c>
      <c r="H129" s="39" t="s">
        <v>246</v>
      </c>
    </row>
    <row r="130" spans="1:8" ht="21.75" customHeight="1" x14ac:dyDescent="0.25">
      <c r="A130" s="35" t="s">
        <v>232</v>
      </c>
      <c r="B130" s="36" t="s">
        <v>247</v>
      </c>
      <c r="C130" s="37">
        <v>1600</v>
      </c>
      <c r="D130" s="38" t="s">
        <v>248</v>
      </c>
      <c r="E130" s="37">
        <f t="shared" si="2"/>
        <v>240</v>
      </c>
      <c r="F130" s="37">
        <v>80</v>
      </c>
      <c r="G130" s="37">
        <f t="shared" si="3"/>
        <v>160</v>
      </c>
      <c r="H130" s="40" t="s">
        <v>249</v>
      </c>
    </row>
    <row r="131" spans="1:8" ht="21.75" customHeight="1" x14ac:dyDescent="0.25">
      <c r="A131" s="35" t="s">
        <v>232</v>
      </c>
      <c r="B131" s="36" t="s">
        <v>250</v>
      </c>
      <c r="C131" s="37">
        <v>2250</v>
      </c>
      <c r="D131" s="38" t="s">
        <v>251</v>
      </c>
      <c r="E131" s="37">
        <f t="shared" si="2"/>
        <v>337.5</v>
      </c>
      <c r="F131" s="37">
        <v>100</v>
      </c>
      <c r="G131" s="37">
        <f t="shared" si="3"/>
        <v>237.5</v>
      </c>
      <c r="H131" s="36"/>
    </row>
    <row r="132" spans="1:8" ht="21.75" customHeight="1" x14ac:dyDescent="0.25">
      <c r="A132" s="35" t="s">
        <v>232</v>
      </c>
      <c r="B132" s="36" t="s">
        <v>252</v>
      </c>
      <c r="C132" s="37">
        <v>1950</v>
      </c>
      <c r="D132" s="38" t="s">
        <v>39</v>
      </c>
      <c r="E132" s="37">
        <f t="shared" si="2"/>
        <v>292.5</v>
      </c>
      <c r="F132" s="37">
        <v>100</v>
      </c>
      <c r="G132" s="37">
        <f t="shared" si="3"/>
        <v>192.5</v>
      </c>
      <c r="H132" s="39" t="s">
        <v>253</v>
      </c>
    </row>
    <row r="133" spans="1:8" ht="21.75" customHeight="1" x14ac:dyDescent="0.25">
      <c r="A133" s="35" t="s">
        <v>232</v>
      </c>
      <c r="B133" s="36" t="s">
        <v>254</v>
      </c>
      <c r="C133" s="37">
        <v>1950</v>
      </c>
      <c r="D133" s="38" t="s">
        <v>43</v>
      </c>
      <c r="E133" s="37">
        <f t="shared" si="2"/>
        <v>292.5</v>
      </c>
      <c r="F133" s="37">
        <v>100</v>
      </c>
      <c r="G133" s="37">
        <f t="shared" si="3"/>
        <v>192.5</v>
      </c>
      <c r="H133" s="36"/>
    </row>
    <row r="134" spans="1:8" ht="21.75" customHeight="1" x14ac:dyDescent="0.25">
      <c r="A134" s="35"/>
      <c r="B134" s="41" t="s">
        <v>255</v>
      </c>
      <c r="C134" s="37"/>
      <c r="D134" s="38" t="s">
        <v>256</v>
      </c>
      <c r="E134" s="37"/>
      <c r="F134" s="37"/>
      <c r="G134" s="37"/>
      <c r="H134" s="39" t="s">
        <v>257</v>
      </c>
    </row>
    <row r="135" spans="1:8" ht="21.75" customHeight="1" x14ac:dyDescent="0.25">
      <c r="A135" s="35" t="s">
        <v>232</v>
      </c>
      <c r="B135" s="36" t="s">
        <v>258</v>
      </c>
      <c r="C135" s="37">
        <v>1690</v>
      </c>
      <c r="D135" s="38" t="s">
        <v>35</v>
      </c>
      <c r="E135" s="37">
        <f t="shared" ref="E135:E157" si="4">C135*0.15</f>
        <v>253.5</v>
      </c>
      <c r="F135" s="37">
        <v>100</v>
      </c>
      <c r="G135" s="37">
        <f t="shared" ref="G135:G157" si="5">E135-F135</f>
        <v>153.5</v>
      </c>
      <c r="H135" s="36"/>
    </row>
    <row r="136" spans="1:8" ht="21.75" customHeight="1" x14ac:dyDescent="0.25">
      <c r="A136" s="35" t="s">
        <v>232</v>
      </c>
      <c r="B136" s="36" t="s">
        <v>259</v>
      </c>
      <c r="C136" s="37">
        <v>890</v>
      </c>
      <c r="D136" s="38" t="s">
        <v>260</v>
      </c>
      <c r="E136" s="37">
        <f t="shared" si="4"/>
        <v>133.5</v>
      </c>
      <c r="F136" s="37">
        <v>40</v>
      </c>
      <c r="G136" s="37">
        <f t="shared" si="5"/>
        <v>93.5</v>
      </c>
      <c r="H136" s="36"/>
    </row>
    <row r="137" spans="1:8" ht="21.75" customHeight="1" x14ac:dyDescent="0.25">
      <c r="A137" s="35" t="s">
        <v>232</v>
      </c>
      <c r="B137" s="36" t="s">
        <v>261</v>
      </c>
      <c r="C137" s="37">
        <v>855</v>
      </c>
      <c r="D137" s="38" t="s">
        <v>262</v>
      </c>
      <c r="E137" s="37">
        <f t="shared" si="4"/>
        <v>128.25</v>
      </c>
      <c r="F137" s="37">
        <v>40</v>
      </c>
      <c r="G137" s="37">
        <f t="shared" si="5"/>
        <v>88.25</v>
      </c>
      <c r="H137" s="39" t="s">
        <v>263</v>
      </c>
    </row>
    <row r="138" spans="1:8" ht="21.75" customHeight="1" x14ac:dyDescent="0.25">
      <c r="A138" s="35" t="s">
        <v>232</v>
      </c>
      <c r="B138" s="36" t="s">
        <v>264</v>
      </c>
      <c r="C138" s="37">
        <v>855</v>
      </c>
      <c r="D138" s="38" t="s">
        <v>265</v>
      </c>
      <c r="E138" s="37">
        <f t="shared" si="4"/>
        <v>128.25</v>
      </c>
      <c r="F138" s="37">
        <v>40</v>
      </c>
      <c r="G138" s="37">
        <f t="shared" si="5"/>
        <v>88.25</v>
      </c>
      <c r="H138" s="39" t="s">
        <v>266</v>
      </c>
    </row>
    <row r="139" spans="1:8" ht="21.75" customHeight="1" x14ac:dyDescent="0.25">
      <c r="A139" s="35" t="s">
        <v>232</v>
      </c>
      <c r="B139" s="36" t="s">
        <v>267</v>
      </c>
      <c r="C139" s="37">
        <v>855</v>
      </c>
      <c r="D139" s="38" t="s">
        <v>268</v>
      </c>
      <c r="E139" s="37">
        <f t="shared" si="4"/>
        <v>128.25</v>
      </c>
      <c r="F139" s="37">
        <v>40</v>
      </c>
      <c r="G139" s="37">
        <f t="shared" si="5"/>
        <v>88.25</v>
      </c>
      <c r="H139" s="39" t="s">
        <v>269</v>
      </c>
    </row>
    <row r="140" spans="1:8" ht="21.75" customHeight="1" x14ac:dyDescent="0.25">
      <c r="A140" s="35" t="s">
        <v>232</v>
      </c>
      <c r="B140" s="36" t="s">
        <v>270</v>
      </c>
      <c r="C140" s="37">
        <v>855</v>
      </c>
      <c r="D140" s="38" t="s">
        <v>271</v>
      </c>
      <c r="E140" s="37">
        <f t="shared" si="4"/>
        <v>128.25</v>
      </c>
      <c r="F140" s="37">
        <v>40</v>
      </c>
      <c r="G140" s="37">
        <f t="shared" si="5"/>
        <v>88.25</v>
      </c>
      <c r="H140" s="39" t="s">
        <v>269</v>
      </c>
    </row>
    <row r="141" spans="1:8" ht="21.75" customHeight="1" x14ac:dyDescent="0.25">
      <c r="A141" s="35" t="s">
        <v>232</v>
      </c>
      <c r="B141" s="36" t="s">
        <v>272</v>
      </c>
      <c r="C141" s="37">
        <v>855</v>
      </c>
      <c r="D141" s="38" t="s">
        <v>241</v>
      </c>
      <c r="E141" s="37">
        <f t="shared" si="4"/>
        <v>128.25</v>
      </c>
      <c r="F141" s="37">
        <v>40</v>
      </c>
      <c r="G141" s="37">
        <f t="shared" si="5"/>
        <v>88.25</v>
      </c>
      <c r="H141" s="39" t="s">
        <v>269</v>
      </c>
    </row>
    <row r="142" spans="1:8" ht="21.75" customHeight="1" x14ac:dyDescent="0.25">
      <c r="A142" s="42" t="s">
        <v>273</v>
      </c>
      <c r="B142" s="43" t="s">
        <v>274</v>
      </c>
      <c r="C142" s="44">
        <v>2300</v>
      </c>
      <c r="D142" s="45" t="s">
        <v>275</v>
      </c>
      <c r="E142" s="44">
        <f t="shared" si="4"/>
        <v>345</v>
      </c>
      <c r="F142" s="44">
        <v>100</v>
      </c>
      <c r="G142" s="44">
        <f t="shared" si="5"/>
        <v>245</v>
      </c>
      <c r="H142" s="46" t="s">
        <v>276</v>
      </c>
    </row>
    <row r="143" spans="1:8" ht="21.75" customHeight="1" x14ac:dyDescent="0.25">
      <c r="A143" s="42" t="s">
        <v>273</v>
      </c>
      <c r="B143" s="43" t="s">
        <v>277</v>
      </c>
      <c r="C143" s="44">
        <v>1350</v>
      </c>
      <c r="D143" s="45" t="s">
        <v>245</v>
      </c>
      <c r="E143" s="44">
        <f t="shared" si="4"/>
        <v>202.5</v>
      </c>
      <c r="F143" s="44">
        <v>50</v>
      </c>
      <c r="G143" s="44">
        <f t="shared" si="5"/>
        <v>152.5</v>
      </c>
      <c r="H143" s="46" t="s">
        <v>278</v>
      </c>
    </row>
    <row r="144" spans="1:8" ht="21.75" customHeight="1" x14ac:dyDescent="0.25">
      <c r="A144" s="42" t="s">
        <v>273</v>
      </c>
      <c r="B144" s="43" t="s">
        <v>279</v>
      </c>
      <c r="C144" s="44">
        <v>1350</v>
      </c>
      <c r="D144" s="45" t="s">
        <v>248</v>
      </c>
      <c r="E144" s="44">
        <f t="shared" si="4"/>
        <v>202.5</v>
      </c>
      <c r="F144" s="44">
        <v>50</v>
      </c>
      <c r="G144" s="44">
        <f t="shared" si="5"/>
        <v>152.5</v>
      </c>
      <c r="H144" s="47" t="s">
        <v>280</v>
      </c>
    </row>
    <row r="145" spans="1:8" ht="21.75" customHeight="1" x14ac:dyDescent="0.25">
      <c r="A145" s="42" t="s">
        <v>273</v>
      </c>
      <c r="B145" s="43" t="s">
        <v>281</v>
      </c>
      <c r="C145" s="44">
        <v>1350</v>
      </c>
      <c r="D145" s="45" t="s">
        <v>248</v>
      </c>
      <c r="E145" s="44">
        <f t="shared" si="4"/>
        <v>202.5</v>
      </c>
      <c r="F145" s="44">
        <v>50</v>
      </c>
      <c r="G145" s="44">
        <f t="shared" si="5"/>
        <v>152.5</v>
      </c>
      <c r="H145" s="46" t="s">
        <v>282</v>
      </c>
    </row>
    <row r="146" spans="1:8" ht="21.75" customHeight="1" x14ac:dyDescent="0.25">
      <c r="A146" s="42" t="s">
        <v>273</v>
      </c>
      <c r="B146" s="43" t="s">
        <v>283</v>
      </c>
      <c r="C146" s="44">
        <v>1250</v>
      </c>
      <c r="D146" s="45" t="s">
        <v>284</v>
      </c>
      <c r="E146" s="44">
        <f t="shared" si="4"/>
        <v>187.5</v>
      </c>
      <c r="F146" s="44">
        <v>50</v>
      </c>
      <c r="G146" s="44">
        <f t="shared" si="5"/>
        <v>137.5</v>
      </c>
      <c r="H146" s="47" t="s">
        <v>285</v>
      </c>
    </row>
    <row r="147" spans="1:8" ht="21.75" customHeight="1" x14ac:dyDescent="0.25">
      <c r="A147" s="48" t="s">
        <v>286</v>
      </c>
      <c r="B147" s="49" t="s">
        <v>287</v>
      </c>
      <c r="C147" s="50">
        <v>1050</v>
      </c>
      <c r="D147" s="51" t="s">
        <v>288</v>
      </c>
      <c r="E147" s="50">
        <f t="shared" si="4"/>
        <v>157.5</v>
      </c>
      <c r="F147" s="50">
        <v>50</v>
      </c>
      <c r="G147" s="50">
        <f t="shared" si="5"/>
        <v>107.5</v>
      </c>
      <c r="H147" s="52" t="s">
        <v>289</v>
      </c>
    </row>
    <row r="148" spans="1:8" ht="21.75" customHeight="1" x14ac:dyDescent="0.25">
      <c r="A148" s="48" t="s">
        <v>286</v>
      </c>
      <c r="B148" s="49" t="s">
        <v>290</v>
      </c>
      <c r="C148" s="50">
        <v>1125</v>
      </c>
      <c r="D148" s="51" t="s">
        <v>291</v>
      </c>
      <c r="E148" s="50">
        <f t="shared" si="4"/>
        <v>168.75</v>
      </c>
      <c r="F148" s="50">
        <v>50</v>
      </c>
      <c r="G148" s="50">
        <f t="shared" si="5"/>
        <v>118.75</v>
      </c>
      <c r="H148" s="53" t="s">
        <v>292</v>
      </c>
    </row>
    <row r="149" spans="1:8" ht="21.75" customHeight="1" x14ac:dyDescent="0.25">
      <c r="A149" s="48" t="s">
        <v>286</v>
      </c>
      <c r="B149" s="49" t="s">
        <v>293</v>
      </c>
      <c r="C149" s="50">
        <v>750</v>
      </c>
      <c r="D149" s="51" t="s">
        <v>294</v>
      </c>
      <c r="E149" s="50">
        <f t="shared" si="4"/>
        <v>112.5</v>
      </c>
      <c r="F149" s="50">
        <v>30</v>
      </c>
      <c r="G149" s="50">
        <f t="shared" si="5"/>
        <v>82.5</v>
      </c>
      <c r="H149" s="49"/>
    </row>
    <row r="150" spans="1:8" ht="21.75" customHeight="1" x14ac:dyDescent="0.25">
      <c r="A150" s="48" t="s">
        <v>286</v>
      </c>
      <c r="B150" s="49" t="s">
        <v>295</v>
      </c>
      <c r="C150" s="50">
        <v>890</v>
      </c>
      <c r="D150" s="51" t="s">
        <v>296</v>
      </c>
      <c r="E150" s="50">
        <f t="shared" si="4"/>
        <v>133.5</v>
      </c>
      <c r="F150" s="50">
        <v>40</v>
      </c>
      <c r="G150" s="50">
        <f t="shared" si="5"/>
        <v>93.5</v>
      </c>
      <c r="H150" s="52" t="s">
        <v>297</v>
      </c>
    </row>
    <row r="151" spans="1:8" ht="21.75" customHeight="1" x14ac:dyDescent="0.25">
      <c r="A151" s="48" t="s">
        <v>286</v>
      </c>
      <c r="B151" s="49" t="s">
        <v>298</v>
      </c>
      <c r="C151" s="50">
        <v>890</v>
      </c>
      <c r="D151" s="51" t="s">
        <v>299</v>
      </c>
      <c r="E151" s="50">
        <f t="shared" si="4"/>
        <v>133.5</v>
      </c>
      <c r="F151" s="50">
        <v>40</v>
      </c>
      <c r="G151" s="50">
        <f t="shared" si="5"/>
        <v>93.5</v>
      </c>
      <c r="H151" s="49"/>
    </row>
    <row r="152" spans="1:8" ht="21.75" customHeight="1" x14ac:dyDescent="0.25">
      <c r="A152" s="48" t="s">
        <v>286</v>
      </c>
      <c r="B152" s="49" t="s">
        <v>300</v>
      </c>
      <c r="C152" s="50">
        <v>1690</v>
      </c>
      <c r="D152" s="51" t="s">
        <v>301</v>
      </c>
      <c r="E152" s="50">
        <f t="shared" si="4"/>
        <v>253.5</v>
      </c>
      <c r="F152" s="50">
        <v>100</v>
      </c>
      <c r="G152" s="50">
        <f t="shared" si="5"/>
        <v>153.5</v>
      </c>
      <c r="H152" s="52" t="s">
        <v>302</v>
      </c>
    </row>
    <row r="153" spans="1:8" ht="21.75" customHeight="1" x14ac:dyDescent="0.25">
      <c r="A153" s="54" t="s">
        <v>303</v>
      </c>
      <c r="B153" s="55" t="s">
        <v>304</v>
      </c>
      <c r="C153" s="56">
        <v>1050</v>
      </c>
      <c r="D153" s="57" t="s">
        <v>305</v>
      </c>
      <c r="E153" s="56">
        <f t="shared" si="4"/>
        <v>157.5</v>
      </c>
      <c r="F153" s="56">
        <v>50</v>
      </c>
      <c r="G153" s="56">
        <f t="shared" si="5"/>
        <v>107.5</v>
      </c>
      <c r="H153" s="58" t="s">
        <v>306</v>
      </c>
    </row>
    <row r="154" spans="1:8" ht="21.75" customHeight="1" x14ac:dyDescent="0.25">
      <c r="A154" s="54" t="s">
        <v>303</v>
      </c>
      <c r="B154" s="55" t="s">
        <v>307</v>
      </c>
      <c r="C154" s="56">
        <v>1600</v>
      </c>
      <c r="D154" s="57" t="s">
        <v>248</v>
      </c>
      <c r="E154" s="56">
        <f t="shared" si="4"/>
        <v>240</v>
      </c>
      <c r="F154" s="56">
        <v>80</v>
      </c>
      <c r="G154" s="56">
        <f t="shared" si="5"/>
        <v>160</v>
      </c>
      <c r="H154" s="58" t="s">
        <v>308</v>
      </c>
    </row>
    <row r="155" spans="1:8" ht="21.75" customHeight="1" x14ac:dyDescent="0.25">
      <c r="A155" s="54" t="s">
        <v>303</v>
      </c>
      <c r="B155" s="55" t="s">
        <v>309</v>
      </c>
      <c r="C155" s="56">
        <v>1125</v>
      </c>
      <c r="D155" s="57" t="s">
        <v>245</v>
      </c>
      <c r="E155" s="56">
        <f t="shared" si="4"/>
        <v>168.75</v>
      </c>
      <c r="F155" s="56">
        <v>50</v>
      </c>
      <c r="G155" s="56">
        <f t="shared" si="5"/>
        <v>118.75</v>
      </c>
      <c r="H155" s="58" t="s">
        <v>310</v>
      </c>
    </row>
    <row r="156" spans="1:8" ht="21.75" customHeight="1" x14ac:dyDescent="0.25">
      <c r="A156" s="54" t="s">
        <v>303</v>
      </c>
      <c r="B156" s="55" t="s">
        <v>311</v>
      </c>
      <c r="C156" s="56">
        <v>1050</v>
      </c>
      <c r="D156" s="57" t="s">
        <v>312</v>
      </c>
      <c r="E156" s="56">
        <f t="shared" si="4"/>
        <v>157.5</v>
      </c>
      <c r="F156" s="56">
        <v>50</v>
      </c>
      <c r="G156" s="56">
        <f t="shared" si="5"/>
        <v>107.5</v>
      </c>
      <c r="H156" s="58" t="s">
        <v>313</v>
      </c>
    </row>
    <row r="157" spans="1:8" ht="21.75" customHeight="1" x14ac:dyDescent="0.25">
      <c r="A157" s="54" t="s">
        <v>303</v>
      </c>
      <c r="B157" s="55" t="s">
        <v>314</v>
      </c>
      <c r="C157" s="56">
        <v>1125</v>
      </c>
      <c r="D157" s="57" t="s">
        <v>315</v>
      </c>
      <c r="E157" s="56">
        <f t="shared" si="4"/>
        <v>168.75</v>
      </c>
      <c r="F157" s="56">
        <v>50</v>
      </c>
      <c r="G157" s="56">
        <f t="shared" si="5"/>
        <v>118.75</v>
      </c>
      <c r="H157" s="58" t="s">
        <v>316</v>
      </c>
    </row>
    <row r="158" spans="1:8" ht="15.75" customHeight="1" x14ac:dyDescent="0.25"/>
    <row r="159" spans="1:8" ht="15.75" customHeight="1" x14ac:dyDescent="0.25">
      <c r="B159" s="41" t="s">
        <v>317</v>
      </c>
      <c r="H159" s="59" t="s">
        <v>318</v>
      </c>
    </row>
    <row r="160" spans="1:8" ht="15.75" customHeight="1" x14ac:dyDescent="0.25">
      <c r="B160" s="41" t="s">
        <v>230</v>
      </c>
      <c r="H160" s="59" t="s">
        <v>319</v>
      </c>
    </row>
    <row r="161" spans="2:8" ht="15.75" customHeight="1" x14ac:dyDescent="0.25">
      <c r="B161" s="60" t="s">
        <v>200</v>
      </c>
      <c r="H161" s="59" t="s">
        <v>319</v>
      </c>
    </row>
    <row r="162" spans="2:8" ht="15.75" customHeight="1" x14ac:dyDescent="0.25">
      <c r="B162" s="41" t="s">
        <v>320</v>
      </c>
      <c r="H162" s="59" t="s">
        <v>321</v>
      </c>
    </row>
    <row r="163" spans="2:8" ht="15.75" customHeight="1" x14ac:dyDescent="0.25">
      <c r="B163" s="41" t="s">
        <v>203</v>
      </c>
      <c r="H163" s="61" t="s">
        <v>322</v>
      </c>
    </row>
    <row r="164" spans="2:8" ht="15.75" customHeight="1" x14ac:dyDescent="0.25">
      <c r="B164" s="41" t="s">
        <v>323</v>
      </c>
      <c r="H164" s="59" t="s">
        <v>324</v>
      </c>
    </row>
    <row r="165" spans="2:8" ht="15.75" customHeight="1" x14ac:dyDescent="0.25">
      <c r="B165" s="60" t="s">
        <v>325</v>
      </c>
      <c r="H165" s="59" t="s">
        <v>326</v>
      </c>
    </row>
    <row r="166" spans="2:8" ht="15.75" customHeight="1" x14ac:dyDescent="0.25">
      <c r="B166" s="41" t="s">
        <v>327</v>
      </c>
      <c r="H166" s="59" t="s">
        <v>328</v>
      </c>
    </row>
    <row r="167" spans="2:8" ht="15.75" customHeight="1" x14ac:dyDescent="0.25">
      <c r="B167" s="60" t="s">
        <v>329</v>
      </c>
      <c r="H167" s="59" t="s">
        <v>330</v>
      </c>
    </row>
    <row r="168" spans="2:8" ht="15.75" customHeight="1" x14ac:dyDescent="0.25">
      <c r="B168" s="60" t="s">
        <v>331</v>
      </c>
      <c r="H168" s="59" t="s">
        <v>332</v>
      </c>
    </row>
    <row r="169" spans="2:8" ht="15.75" customHeight="1" x14ac:dyDescent="0.25">
      <c r="B169" s="41" t="s">
        <v>333</v>
      </c>
      <c r="H169" s="59" t="s">
        <v>334</v>
      </c>
    </row>
    <row r="170" spans="2:8" ht="15.75" customHeight="1" x14ac:dyDescent="0.25">
      <c r="B170" s="41" t="s">
        <v>335</v>
      </c>
      <c r="H170" s="59" t="s">
        <v>336</v>
      </c>
    </row>
    <row r="171" spans="2:8" ht="15.75" customHeight="1" x14ac:dyDescent="0.25">
      <c r="B171" s="41" t="s">
        <v>337</v>
      </c>
      <c r="H171" s="59" t="s">
        <v>338</v>
      </c>
    </row>
    <row r="172" spans="2:8" ht="15.75" customHeight="1" x14ac:dyDescent="0.25"/>
    <row r="173" spans="2:8" ht="15.75" customHeight="1" x14ac:dyDescent="0.25"/>
    <row r="174" spans="2:8" ht="15.75" customHeight="1" x14ac:dyDescent="0.25"/>
    <row r="175" spans="2:8" ht="15.75" customHeight="1" x14ac:dyDescent="0.25"/>
    <row r="176" spans="2:8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</sheetData>
  <hyperlinks>
    <hyperlink ref="H17" r:id="rId1" xr:uid="{00000000-0004-0000-0000-000000000000}"/>
    <hyperlink ref="H21" r:id="rId2" xr:uid="{00000000-0004-0000-0000-000001000000}"/>
    <hyperlink ref="H22" r:id="rId3" xr:uid="{00000000-0004-0000-0000-000002000000}"/>
    <hyperlink ref="H23" r:id="rId4" xr:uid="{00000000-0004-0000-0000-000003000000}"/>
    <hyperlink ref="H101" r:id="rId5" xr:uid="{00000000-0004-0000-0000-000004000000}"/>
    <hyperlink ref="H102" r:id="rId6" xr:uid="{00000000-0004-0000-0000-000005000000}"/>
    <hyperlink ref="H103" r:id="rId7" xr:uid="{00000000-0004-0000-0000-000006000000}"/>
    <hyperlink ref="H104" r:id="rId8" xr:uid="{00000000-0004-0000-0000-000007000000}"/>
    <hyperlink ref="H109" r:id="rId9" xr:uid="{00000000-0004-0000-0000-000008000000}"/>
    <hyperlink ref="H110" r:id="rId10" xr:uid="{00000000-0004-0000-0000-000009000000}"/>
    <hyperlink ref="H111" r:id="rId11" xr:uid="{00000000-0004-0000-0000-00000A000000}"/>
    <hyperlink ref="H118" r:id="rId12" xr:uid="{00000000-0004-0000-0000-00000B000000}"/>
    <hyperlink ref="H124" r:id="rId13" xr:uid="{00000000-0004-0000-0000-00000C000000}"/>
    <hyperlink ref="H126" r:id="rId14" xr:uid="{00000000-0004-0000-0000-00000D000000}"/>
    <hyperlink ref="H129" r:id="rId15" xr:uid="{00000000-0004-0000-0000-00000E000000}"/>
    <hyperlink ref="H130" r:id="rId16" xr:uid="{00000000-0004-0000-0000-00000F000000}"/>
    <hyperlink ref="H132" r:id="rId17" xr:uid="{00000000-0004-0000-0000-000010000000}"/>
    <hyperlink ref="H134" r:id="rId18" xr:uid="{00000000-0004-0000-0000-000011000000}"/>
    <hyperlink ref="H137" r:id="rId19" xr:uid="{00000000-0004-0000-0000-000012000000}"/>
    <hyperlink ref="H138" r:id="rId20" xr:uid="{00000000-0004-0000-0000-000013000000}"/>
    <hyperlink ref="H139" r:id="rId21" xr:uid="{00000000-0004-0000-0000-000014000000}"/>
    <hyperlink ref="H140" r:id="rId22" xr:uid="{00000000-0004-0000-0000-000015000000}"/>
    <hyperlink ref="H141" r:id="rId23" xr:uid="{00000000-0004-0000-0000-000016000000}"/>
    <hyperlink ref="H144" r:id="rId24" xr:uid="{00000000-0004-0000-0000-000017000000}"/>
    <hyperlink ref="H146" r:id="rId25" xr:uid="{00000000-0004-0000-0000-000018000000}"/>
    <hyperlink ref="H147" r:id="rId26" xr:uid="{00000000-0004-0000-0000-000019000000}"/>
    <hyperlink ref="H150" r:id="rId27" xr:uid="{00000000-0004-0000-0000-00001A000000}"/>
    <hyperlink ref="H152" r:id="rId28" xr:uid="{00000000-0004-0000-0000-00001B000000}"/>
    <hyperlink ref="H153" r:id="rId29" xr:uid="{00000000-0004-0000-0000-00001C000000}"/>
    <hyperlink ref="H154" r:id="rId30" xr:uid="{00000000-0004-0000-0000-00001D000000}"/>
    <hyperlink ref="H155" r:id="rId31" xr:uid="{00000000-0004-0000-0000-00001E000000}"/>
    <hyperlink ref="H156" r:id="rId32" xr:uid="{00000000-0004-0000-0000-00001F000000}"/>
    <hyperlink ref="H157" r:id="rId33" xr:uid="{00000000-0004-0000-0000-000020000000}"/>
    <hyperlink ref="H159" r:id="rId34" xr:uid="{00000000-0004-0000-0000-000021000000}"/>
    <hyperlink ref="H160" r:id="rId35" xr:uid="{00000000-0004-0000-0000-000022000000}"/>
    <hyperlink ref="H161" r:id="rId36" xr:uid="{00000000-0004-0000-0000-000023000000}"/>
    <hyperlink ref="H162" r:id="rId37" xr:uid="{00000000-0004-0000-0000-000024000000}"/>
    <hyperlink ref="H163" r:id="rId38" xr:uid="{00000000-0004-0000-0000-000025000000}"/>
    <hyperlink ref="H164" r:id="rId39" xr:uid="{00000000-0004-0000-0000-000026000000}"/>
    <hyperlink ref="H165" r:id="rId40" xr:uid="{00000000-0004-0000-0000-000027000000}"/>
    <hyperlink ref="H166" r:id="rId41" xr:uid="{00000000-0004-0000-0000-000028000000}"/>
    <hyperlink ref="H167" r:id="rId42" xr:uid="{00000000-0004-0000-0000-000029000000}"/>
    <hyperlink ref="H168" r:id="rId43" xr:uid="{00000000-0004-0000-0000-00002A000000}"/>
    <hyperlink ref="H169" r:id="rId44" xr:uid="{00000000-0004-0000-0000-00002B000000}"/>
    <hyperlink ref="H170" r:id="rId45" xr:uid="{00000000-0004-0000-0000-00002C000000}"/>
    <hyperlink ref="H171" r:id="rId46" xr:uid="{00000000-0004-0000-0000-00002D000000}"/>
    <hyperlink ref="H28" r:id="rId47" xr:uid="{F41D61C3-A0C0-42CD-8255-A00F8F9A815D}"/>
    <hyperlink ref="H46" r:id="rId48" xr:uid="{204A2186-5FC9-4747-8F62-897CF9FEE96A}"/>
    <hyperlink ref="H51" r:id="rId49" xr:uid="{37E5B86F-8610-4611-B622-55371F02B5C0}"/>
    <hyperlink ref="H52" r:id="rId50" xr:uid="{F435E9DC-814F-4E51-8CC7-FD7FCEB2BD7A}"/>
    <hyperlink ref="H55" r:id="rId51" xr:uid="{D2BF1CA7-3872-4A5D-A167-CBCCE5AACCB5}"/>
    <hyperlink ref="H56" r:id="rId52" xr:uid="{7EDEC77F-E7E3-442A-9290-9106DC30D298}"/>
    <hyperlink ref="H59" r:id="rId53" xr:uid="{74D7803D-453A-44E7-BA9F-5796C57A5312}"/>
    <hyperlink ref="H37" r:id="rId54" xr:uid="{01AEEE42-2A52-41B4-8097-FB3A0C3D5D8A}"/>
    <hyperlink ref="H39" r:id="rId55" xr:uid="{BBD16F02-E9A7-4FF4-B5FF-54822B19F357}"/>
    <hyperlink ref="H80" r:id="rId56" xr:uid="{C2DD86EB-3632-413E-987D-3B2CE839E8B9}"/>
  </hyperlinks>
  <pageMargins left="0.75" right="0.75" top="1" bottom="1" header="0" footer="0"/>
  <pageSetup orientation="landscape" r:id="rId5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 x14ac:dyDescent="0.25"/>
  <cols>
    <col min="1" max="1" width="15" customWidth="1"/>
    <col min="2" max="2" width="40" customWidth="1"/>
    <col min="3" max="3" width="27" customWidth="1"/>
    <col min="4" max="4" width="17" customWidth="1"/>
    <col min="5" max="5" width="29" customWidth="1"/>
    <col min="6" max="6" width="31" customWidth="1"/>
    <col min="7" max="7" width="23" customWidth="1"/>
    <col min="8" max="8" width="34" customWidth="1"/>
  </cols>
  <sheetData>
    <row r="1" spans="1:8" ht="27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8</v>
      </c>
      <c r="F1" s="2" t="s">
        <v>5</v>
      </c>
      <c r="G1" s="2" t="s">
        <v>6</v>
      </c>
      <c r="H1" s="2" t="s">
        <v>7</v>
      </c>
    </row>
    <row r="2" spans="1:8" ht="21.75" customHeight="1" x14ac:dyDescent="0.25">
      <c r="A2" s="6" t="s">
        <v>12</v>
      </c>
      <c r="B2" s="6" t="s">
        <v>14</v>
      </c>
      <c r="C2" s="8">
        <v>1950</v>
      </c>
      <c r="D2" s="9" t="s">
        <v>16</v>
      </c>
      <c r="E2" s="8">
        <f t="shared" ref="E2:E16" si="0">C2*0.25</f>
        <v>487.5</v>
      </c>
      <c r="F2" s="8">
        <v>150</v>
      </c>
      <c r="G2" s="8">
        <f t="shared" ref="G2:G16" si="1">E2-F2</f>
        <v>337.5</v>
      </c>
      <c r="H2" s="6"/>
    </row>
    <row r="3" spans="1:8" ht="21.75" customHeight="1" x14ac:dyDescent="0.25">
      <c r="A3" s="11" t="s">
        <v>23</v>
      </c>
      <c r="B3" s="11" t="s">
        <v>25</v>
      </c>
      <c r="C3" s="12">
        <v>1500</v>
      </c>
      <c r="D3" s="13" t="s">
        <v>16</v>
      </c>
      <c r="E3" s="12">
        <f t="shared" si="0"/>
        <v>375</v>
      </c>
      <c r="F3" s="12">
        <v>100</v>
      </c>
      <c r="G3" s="12">
        <f t="shared" si="1"/>
        <v>275</v>
      </c>
      <c r="H3" s="11"/>
    </row>
    <row r="4" spans="1:8" ht="21.75" customHeight="1" x14ac:dyDescent="0.25">
      <c r="A4" s="6" t="s">
        <v>31</v>
      </c>
      <c r="B4" s="6" t="s">
        <v>32</v>
      </c>
      <c r="C4" s="8">
        <v>1950</v>
      </c>
      <c r="D4" s="9" t="s">
        <v>16</v>
      </c>
      <c r="E4" s="8">
        <f t="shared" si="0"/>
        <v>487.5</v>
      </c>
      <c r="F4" s="8">
        <v>150</v>
      </c>
      <c r="G4" s="8">
        <f t="shared" si="1"/>
        <v>337.5</v>
      </c>
      <c r="H4" s="6"/>
    </row>
    <row r="5" spans="1:8" ht="21.75" customHeight="1" x14ac:dyDescent="0.25">
      <c r="A5" s="11" t="s">
        <v>31</v>
      </c>
      <c r="B5" s="11" t="s">
        <v>36</v>
      </c>
      <c r="C5" s="12">
        <v>1500</v>
      </c>
      <c r="D5" s="13" t="s">
        <v>16</v>
      </c>
      <c r="E5" s="12">
        <f t="shared" si="0"/>
        <v>375</v>
      </c>
      <c r="F5" s="12">
        <v>100</v>
      </c>
      <c r="G5" s="12">
        <f t="shared" si="1"/>
        <v>275</v>
      </c>
      <c r="H5" s="11"/>
    </row>
    <row r="6" spans="1:8" ht="21.75" customHeight="1" x14ac:dyDescent="0.25">
      <c r="A6" s="6" t="s">
        <v>12</v>
      </c>
      <c r="B6" s="6" t="s">
        <v>41</v>
      </c>
      <c r="C6" s="8">
        <v>2500</v>
      </c>
      <c r="D6" s="9" t="s">
        <v>16</v>
      </c>
      <c r="E6" s="8">
        <f t="shared" si="0"/>
        <v>625</v>
      </c>
      <c r="F6" s="8">
        <v>200</v>
      </c>
      <c r="G6" s="8">
        <f t="shared" si="1"/>
        <v>425</v>
      </c>
      <c r="H6" s="6"/>
    </row>
    <row r="7" spans="1:8" ht="21.75" customHeight="1" x14ac:dyDescent="0.25">
      <c r="A7" s="11" t="s">
        <v>47</v>
      </c>
      <c r="B7" s="11" t="s">
        <v>48</v>
      </c>
      <c r="C7" s="12">
        <v>1200</v>
      </c>
      <c r="D7" s="13" t="s">
        <v>16</v>
      </c>
      <c r="E7" s="12">
        <f t="shared" si="0"/>
        <v>300</v>
      </c>
      <c r="F7" s="12">
        <v>100</v>
      </c>
      <c r="G7" s="12">
        <f t="shared" si="1"/>
        <v>200</v>
      </c>
      <c r="H7" s="11"/>
    </row>
    <row r="8" spans="1:8" ht="21.75" customHeight="1" x14ac:dyDescent="0.25">
      <c r="A8" s="6" t="s">
        <v>31</v>
      </c>
      <c r="B8" s="6" t="s">
        <v>54</v>
      </c>
      <c r="C8" s="8">
        <v>1950</v>
      </c>
      <c r="D8" s="9" t="s">
        <v>16</v>
      </c>
      <c r="E8" s="8">
        <f t="shared" si="0"/>
        <v>487.5</v>
      </c>
      <c r="F8" s="8">
        <v>150</v>
      </c>
      <c r="G8" s="8">
        <f t="shared" si="1"/>
        <v>337.5</v>
      </c>
      <c r="H8" s="6"/>
    </row>
    <row r="9" spans="1:8" ht="21.75" customHeight="1" x14ac:dyDescent="0.25">
      <c r="A9" s="11" t="s">
        <v>31</v>
      </c>
      <c r="B9" s="11" t="s">
        <v>60</v>
      </c>
      <c r="C9" s="12">
        <v>1200</v>
      </c>
      <c r="D9" s="13" t="s">
        <v>16</v>
      </c>
      <c r="E9" s="12">
        <f t="shared" si="0"/>
        <v>300</v>
      </c>
      <c r="F9" s="12">
        <v>100</v>
      </c>
      <c r="G9" s="12">
        <f t="shared" si="1"/>
        <v>200</v>
      </c>
      <c r="H9" s="11"/>
    </row>
    <row r="10" spans="1:8" ht="21.75" customHeight="1" x14ac:dyDescent="0.25">
      <c r="A10" s="6" t="s">
        <v>47</v>
      </c>
      <c r="B10" s="6" t="s">
        <v>68</v>
      </c>
      <c r="C10" s="8">
        <v>1500</v>
      </c>
      <c r="D10" s="9" t="s">
        <v>16</v>
      </c>
      <c r="E10" s="8">
        <f t="shared" si="0"/>
        <v>375</v>
      </c>
      <c r="F10" s="8">
        <v>100</v>
      </c>
      <c r="G10" s="8">
        <f t="shared" si="1"/>
        <v>275</v>
      </c>
      <c r="H10" s="6"/>
    </row>
    <row r="11" spans="1:8" ht="21.75" customHeight="1" x14ac:dyDescent="0.25">
      <c r="A11" s="11" t="s">
        <v>47</v>
      </c>
      <c r="B11" s="11" t="s">
        <v>76</v>
      </c>
      <c r="C11" s="12">
        <v>1800</v>
      </c>
      <c r="D11" s="13" t="s">
        <v>16</v>
      </c>
      <c r="E11" s="12">
        <f t="shared" si="0"/>
        <v>450</v>
      </c>
      <c r="F11" s="12">
        <v>100</v>
      </c>
      <c r="G11" s="12">
        <f t="shared" si="1"/>
        <v>350</v>
      </c>
      <c r="H11" s="11"/>
    </row>
    <row r="12" spans="1:8" ht="21.75" customHeight="1" x14ac:dyDescent="0.25">
      <c r="A12" s="6" t="s">
        <v>12</v>
      </c>
      <c r="B12" s="6" t="s">
        <v>80</v>
      </c>
      <c r="C12" s="8">
        <v>1500</v>
      </c>
      <c r="D12" s="9" t="s">
        <v>16</v>
      </c>
      <c r="E12" s="8">
        <f t="shared" si="0"/>
        <v>375</v>
      </c>
      <c r="F12" s="8">
        <v>100</v>
      </c>
      <c r="G12" s="8">
        <f t="shared" si="1"/>
        <v>275</v>
      </c>
      <c r="H12" s="6"/>
    </row>
    <row r="13" spans="1:8" ht="21.75" customHeight="1" x14ac:dyDescent="0.25">
      <c r="A13" s="11" t="s">
        <v>23</v>
      </c>
      <c r="B13" s="11" t="s">
        <v>85</v>
      </c>
      <c r="C13" s="12">
        <v>1200</v>
      </c>
      <c r="D13" s="13" t="s">
        <v>16</v>
      </c>
      <c r="E13" s="12">
        <f t="shared" si="0"/>
        <v>300</v>
      </c>
      <c r="F13" s="12">
        <v>100</v>
      </c>
      <c r="G13" s="12">
        <f t="shared" si="1"/>
        <v>200</v>
      </c>
      <c r="H13" s="11"/>
    </row>
    <row r="14" spans="1:8" ht="21.75" customHeight="1" x14ac:dyDescent="0.25">
      <c r="A14" s="6" t="s">
        <v>12</v>
      </c>
      <c r="B14" s="6" t="s">
        <v>87</v>
      </c>
      <c r="C14" s="8">
        <v>1500</v>
      </c>
      <c r="D14" s="9" t="s">
        <v>16</v>
      </c>
      <c r="E14" s="8">
        <f t="shared" si="0"/>
        <v>375</v>
      </c>
      <c r="F14" s="8">
        <v>100</v>
      </c>
      <c r="G14" s="8">
        <f t="shared" si="1"/>
        <v>275</v>
      </c>
      <c r="H14" s="6"/>
    </row>
    <row r="15" spans="1:8" ht="21.75" customHeight="1" x14ac:dyDescent="0.25">
      <c r="A15" s="11" t="s">
        <v>12</v>
      </c>
      <c r="B15" s="11" t="s">
        <v>91</v>
      </c>
      <c r="C15" s="12">
        <v>1500</v>
      </c>
      <c r="D15" s="13" t="s">
        <v>16</v>
      </c>
      <c r="E15" s="12">
        <f t="shared" si="0"/>
        <v>375</v>
      </c>
      <c r="F15" s="12">
        <v>100</v>
      </c>
      <c r="G15" s="12">
        <f t="shared" si="1"/>
        <v>275</v>
      </c>
      <c r="H15" s="11"/>
    </row>
    <row r="16" spans="1:8" ht="21.75" customHeight="1" x14ac:dyDescent="0.25">
      <c r="A16" s="6" t="s">
        <v>47</v>
      </c>
      <c r="B16" s="6" t="s">
        <v>94</v>
      </c>
      <c r="C16" s="8">
        <v>1200</v>
      </c>
      <c r="D16" s="9" t="s">
        <v>16</v>
      </c>
      <c r="E16" s="8">
        <f t="shared" si="0"/>
        <v>300</v>
      </c>
      <c r="F16" s="8">
        <v>100</v>
      </c>
      <c r="G16" s="8">
        <f t="shared" si="1"/>
        <v>200</v>
      </c>
      <c r="H16" s="6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4.42578125" defaultRowHeight="15" customHeight="1" x14ac:dyDescent="0.25"/>
  <cols>
    <col min="1" max="1" width="21" customWidth="1"/>
    <col min="2" max="2" width="36" customWidth="1"/>
    <col min="3" max="3" width="27" customWidth="1"/>
    <col min="4" max="4" width="17" customWidth="1"/>
    <col min="5" max="5" width="29" customWidth="1"/>
    <col min="6" max="6" width="31" customWidth="1"/>
    <col min="7" max="7" width="23" customWidth="1"/>
    <col min="8" max="8" width="34" customWidth="1"/>
  </cols>
  <sheetData>
    <row r="1" spans="1:8" ht="27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5</v>
      </c>
      <c r="G1" s="2" t="s">
        <v>6</v>
      </c>
      <c r="H1" s="2" t="s">
        <v>7</v>
      </c>
    </row>
    <row r="2" spans="1:8" ht="21.75" customHeight="1" x14ac:dyDescent="0.25">
      <c r="A2" s="6" t="s">
        <v>13</v>
      </c>
      <c r="B2" s="6" t="s">
        <v>15</v>
      </c>
      <c r="C2" s="8">
        <v>1950</v>
      </c>
      <c r="D2" s="9" t="s">
        <v>16</v>
      </c>
      <c r="E2" s="8">
        <f t="shared" ref="E2:E17" si="0">C2*0.2</f>
        <v>390</v>
      </c>
      <c r="F2" s="8">
        <v>150</v>
      </c>
      <c r="G2" s="8">
        <f t="shared" ref="G2:G17" si="1">E2-F2</f>
        <v>240</v>
      </c>
      <c r="H2" s="6"/>
    </row>
    <row r="3" spans="1:8" ht="21.75" customHeight="1" x14ac:dyDescent="0.25">
      <c r="A3" s="11" t="s">
        <v>21</v>
      </c>
      <c r="B3" s="11" t="s">
        <v>24</v>
      </c>
      <c r="C3" s="12">
        <v>2500</v>
      </c>
      <c r="D3" s="13" t="s">
        <v>16</v>
      </c>
      <c r="E3" s="12">
        <f t="shared" si="0"/>
        <v>500</v>
      </c>
      <c r="F3" s="12">
        <v>200</v>
      </c>
      <c r="G3" s="12">
        <f t="shared" si="1"/>
        <v>300</v>
      </c>
      <c r="H3" s="11"/>
    </row>
    <row r="4" spans="1:8" ht="21.75" customHeight="1" x14ac:dyDescent="0.25">
      <c r="A4" s="6" t="s">
        <v>28</v>
      </c>
      <c r="B4" s="6" t="s">
        <v>29</v>
      </c>
      <c r="C4" s="8">
        <v>2500</v>
      </c>
      <c r="D4" s="9" t="s">
        <v>30</v>
      </c>
      <c r="E4" s="8">
        <f t="shared" si="0"/>
        <v>500</v>
      </c>
      <c r="F4" s="8">
        <v>200</v>
      </c>
      <c r="G4" s="8">
        <f t="shared" si="1"/>
        <v>300</v>
      </c>
      <c r="H4" s="6"/>
    </row>
    <row r="5" spans="1:8" ht="21.75" customHeight="1" x14ac:dyDescent="0.25">
      <c r="A5" s="11" t="s">
        <v>12</v>
      </c>
      <c r="B5" s="11" t="s">
        <v>33</v>
      </c>
      <c r="C5" s="12">
        <v>1950</v>
      </c>
      <c r="D5" s="13" t="s">
        <v>35</v>
      </c>
      <c r="E5" s="12">
        <f t="shared" si="0"/>
        <v>390</v>
      </c>
      <c r="F5" s="12">
        <v>150</v>
      </c>
      <c r="G5" s="12">
        <f t="shared" si="1"/>
        <v>240</v>
      </c>
      <c r="H5" s="11"/>
    </row>
    <row r="6" spans="1:8" ht="21.75" customHeight="1" x14ac:dyDescent="0.25">
      <c r="A6" s="6" t="s">
        <v>12</v>
      </c>
      <c r="B6" s="6" t="s">
        <v>38</v>
      </c>
      <c r="C6" s="8">
        <v>1950</v>
      </c>
      <c r="D6" s="9" t="s">
        <v>39</v>
      </c>
      <c r="E6" s="8">
        <f t="shared" si="0"/>
        <v>390</v>
      </c>
      <c r="F6" s="8">
        <v>150</v>
      </c>
      <c r="G6" s="8">
        <f t="shared" si="1"/>
        <v>240</v>
      </c>
      <c r="H6" s="6"/>
    </row>
    <row r="7" spans="1:8" ht="21.75" customHeight="1" x14ac:dyDescent="0.25">
      <c r="A7" s="11" t="s">
        <v>21</v>
      </c>
      <c r="B7" s="11" t="s">
        <v>42</v>
      </c>
      <c r="C7" s="12">
        <v>1950</v>
      </c>
      <c r="D7" s="13" t="s">
        <v>43</v>
      </c>
      <c r="E7" s="12">
        <f t="shared" si="0"/>
        <v>390</v>
      </c>
      <c r="F7" s="12">
        <v>150</v>
      </c>
      <c r="G7" s="12">
        <f t="shared" si="1"/>
        <v>240</v>
      </c>
      <c r="H7" s="11"/>
    </row>
    <row r="8" spans="1:8" ht="21.75" customHeight="1" x14ac:dyDescent="0.25">
      <c r="A8" s="6" t="s">
        <v>21</v>
      </c>
      <c r="B8" s="6" t="s">
        <v>45</v>
      </c>
      <c r="C8" s="8">
        <v>1500</v>
      </c>
      <c r="D8" s="9" t="s">
        <v>16</v>
      </c>
      <c r="E8" s="8">
        <f t="shared" si="0"/>
        <v>300</v>
      </c>
      <c r="F8" s="8">
        <v>100</v>
      </c>
      <c r="G8" s="8">
        <f t="shared" si="1"/>
        <v>200</v>
      </c>
      <c r="H8" s="6"/>
    </row>
    <row r="9" spans="1:8" ht="21.75" customHeight="1" x14ac:dyDescent="0.25">
      <c r="A9" s="11" t="s">
        <v>21</v>
      </c>
      <c r="B9" s="11" t="s">
        <v>52</v>
      </c>
      <c r="C9" s="12">
        <v>2500</v>
      </c>
      <c r="D9" s="13" t="s">
        <v>16</v>
      </c>
      <c r="E9" s="12">
        <f t="shared" si="0"/>
        <v>500</v>
      </c>
      <c r="F9" s="12">
        <v>200</v>
      </c>
      <c r="G9" s="12">
        <f t="shared" si="1"/>
        <v>300</v>
      </c>
      <c r="H9" s="11"/>
    </row>
    <row r="10" spans="1:8" ht="21.75" customHeight="1" x14ac:dyDescent="0.25">
      <c r="A10" s="6" t="s">
        <v>21</v>
      </c>
      <c r="B10" s="6" t="s">
        <v>57</v>
      </c>
      <c r="C10" s="8">
        <v>1500</v>
      </c>
      <c r="D10" s="9" t="s">
        <v>16</v>
      </c>
      <c r="E10" s="8">
        <f t="shared" si="0"/>
        <v>300</v>
      </c>
      <c r="F10" s="8">
        <v>100</v>
      </c>
      <c r="G10" s="8">
        <f t="shared" si="1"/>
        <v>200</v>
      </c>
      <c r="H10" s="6"/>
    </row>
    <row r="11" spans="1:8" ht="21.75" customHeight="1" x14ac:dyDescent="0.25">
      <c r="A11" s="11" t="s">
        <v>12</v>
      </c>
      <c r="B11" s="11" t="s">
        <v>63</v>
      </c>
      <c r="C11" s="12">
        <v>2500</v>
      </c>
      <c r="D11" s="13" t="s">
        <v>16</v>
      </c>
      <c r="E11" s="12">
        <f t="shared" si="0"/>
        <v>500</v>
      </c>
      <c r="F11" s="12">
        <v>200</v>
      </c>
      <c r="G11" s="12">
        <f t="shared" si="1"/>
        <v>300</v>
      </c>
      <c r="H11" s="11"/>
    </row>
    <row r="12" spans="1:8" ht="21.75" customHeight="1" x14ac:dyDescent="0.25">
      <c r="A12" s="6" t="s">
        <v>12</v>
      </c>
      <c r="B12" s="6" t="s">
        <v>71</v>
      </c>
      <c r="C12" s="8">
        <v>2000</v>
      </c>
      <c r="D12" s="9" t="s">
        <v>16</v>
      </c>
      <c r="E12" s="8">
        <f t="shared" si="0"/>
        <v>400</v>
      </c>
      <c r="F12" s="8">
        <v>150</v>
      </c>
      <c r="G12" s="8">
        <f t="shared" si="1"/>
        <v>250</v>
      </c>
      <c r="H12" s="6"/>
    </row>
    <row r="13" spans="1:8" ht="21.75" customHeight="1" x14ac:dyDescent="0.25">
      <c r="A13" s="11" t="s">
        <v>12</v>
      </c>
      <c r="B13" s="11" t="s">
        <v>78</v>
      </c>
      <c r="C13" s="12">
        <v>1950</v>
      </c>
      <c r="D13" s="13" t="s">
        <v>16</v>
      </c>
      <c r="E13" s="12">
        <f t="shared" si="0"/>
        <v>390</v>
      </c>
      <c r="F13" s="12">
        <v>150</v>
      </c>
      <c r="G13" s="12">
        <f t="shared" si="1"/>
        <v>240</v>
      </c>
      <c r="H13" s="11"/>
    </row>
    <row r="14" spans="1:8" ht="21.75" customHeight="1" x14ac:dyDescent="0.25">
      <c r="A14" s="6" t="s">
        <v>12</v>
      </c>
      <c r="B14" s="6" t="s">
        <v>83</v>
      </c>
      <c r="C14" s="8">
        <v>1500</v>
      </c>
      <c r="D14" s="9" t="s">
        <v>16</v>
      </c>
      <c r="E14" s="8">
        <f t="shared" si="0"/>
        <v>300</v>
      </c>
      <c r="F14" s="8">
        <v>100</v>
      </c>
      <c r="G14" s="8">
        <f t="shared" si="1"/>
        <v>200</v>
      </c>
      <c r="H14" s="6"/>
    </row>
    <row r="15" spans="1:8" ht="21.75" customHeight="1" x14ac:dyDescent="0.25">
      <c r="A15" s="11" t="s">
        <v>28</v>
      </c>
      <c r="B15" s="11" t="s">
        <v>86</v>
      </c>
      <c r="C15" s="12">
        <v>1950</v>
      </c>
      <c r="D15" s="13" t="s">
        <v>16</v>
      </c>
      <c r="E15" s="12">
        <f t="shared" si="0"/>
        <v>390</v>
      </c>
      <c r="F15" s="12">
        <v>150</v>
      </c>
      <c r="G15" s="12">
        <f t="shared" si="1"/>
        <v>240</v>
      </c>
      <c r="H15" s="11"/>
    </row>
    <row r="16" spans="1:8" ht="21.75" customHeight="1" x14ac:dyDescent="0.25">
      <c r="A16" s="6" t="s">
        <v>28</v>
      </c>
      <c r="B16" s="6" t="s">
        <v>89</v>
      </c>
      <c r="C16" s="8">
        <v>1950</v>
      </c>
      <c r="D16" s="9" t="s">
        <v>16</v>
      </c>
      <c r="E16" s="8">
        <f t="shared" si="0"/>
        <v>390</v>
      </c>
      <c r="F16" s="8">
        <v>150</v>
      </c>
      <c r="G16" s="8">
        <f t="shared" si="1"/>
        <v>240</v>
      </c>
      <c r="H16" s="6"/>
    </row>
    <row r="17" spans="1:8" ht="21.75" customHeight="1" x14ac:dyDescent="0.25">
      <c r="A17" s="11" t="s">
        <v>13</v>
      </c>
      <c r="B17" s="11" t="s">
        <v>93</v>
      </c>
      <c r="C17" s="12">
        <v>1500</v>
      </c>
      <c r="D17" s="13" t="s">
        <v>16</v>
      </c>
      <c r="E17" s="12">
        <f t="shared" si="0"/>
        <v>300</v>
      </c>
      <c r="F17" s="12">
        <v>100</v>
      </c>
      <c r="G17" s="12">
        <f t="shared" si="1"/>
        <v>200</v>
      </c>
      <c r="H17" s="11"/>
    </row>
    <row r="21" spans="1:8" ht="15.75" customHeight="1" x14ac:dyDescent="0.25"/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/>
  </sheetViews>
  <sheetFormatPr defaultColWidth="14.42578125" defaultRowHeight="15" customHeight="1" x14ac:dyDescent="0.25"/>
  <cols>
    <col min="1" max="1" width="21" customWidth="1"/>
    <col min="2" max="2" width="40" customWidth="1"/>
    <col min="3" max="3" width="27" customWidth="1"/>
    <col min="4" max="4" width="17" customWidth="1"/>
    <col min="5" max="5" width="29" customWidth="1"/>
    <col min="6" max="6" width="31" customWidth="1"/>
    <col min="7" max="7" width="23" customWidth="1"/>
    <col min="8" max="8" width="34" customWidth="1"/>
  </cols>
  <sheetData>
    <row r="1" spans="1:8" ht="27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5</v>
      </c>
      <c r="G1" s="2" t="s">
        <v>6</v>
      </c>
      <c r="H1" s="2" t="s">
        <v>7</v>
      </c>
    </row>
    <row r="2" spans="1:8" ht="21.75" customHeight="1" x14ac:dyDescent="0.25">
      <c r="A2" s="6" t="s">
        <v>13</v>
      </c>
      <c r="B2" s="6" t="s">
        <v>26</v>
      </c>
      <c r="C2" s="8">
        <v>2500</v>
      </c>
      <c r="D2" s="9" t="s">
        <v>27</v>
      </c>
      <c r="E2" s="8">
        <f t="shared" ref="E2:E16" si="0">C2*0.2</f>
        <v>500</v>
      </c>
      <c r="F2" s="8">
        <v>150</v>
      </c>
      <c r="G2" s="8">
        <f t="shared" ref="G2:G16" si="1">E2-F2</f>
        <v>350</v>
      </c>
      <c r="H2" s="6"/>
    </row>
    <row r="3" spans="1:8" ht="21.75" customHeight="1" x14ac:dyDescent="0.25">
      <c r="A3" s="11" t="s">
        <v>13</v>
      </c>
      <c r="B3" s="11" t="s">
        <v>49</v>
      </c>
      <c r="C3" s="12">
        <v>1800</v>
      </c>
      <c r="D3" s="13" t="s">
        <v>51</v>
      </c>
      <c r="E3" s="12">
        <f t="shared" si="0"/>
        <v>360</v>
      </c>
      <c r="F3" s="12">
        <v>100</v>
      </c>
      <c r="G3" s="12">
        <f t="shared" si="1"/>
        <v>260</v>
      </c>
      <c r="H3" s="11"/>
    </row>
    <row r="4" spans="1:8" ht="21.75" customHeight="1" x14ac:dyDescent="0.25">
      <c r="A4" s="6" t="s">
        <v>13</v>
      </c>
      <c r="B4" s="6" t="s">
        <v>55</v>
      </c>
      <c r="C4" s="8">
        <v>1500</v>
      </c>
      <c r="D4" s="9" t="s">
        <v>27</v>
      </c>
      <c r="E4" s="8">
        <f t="shared" si="0"/>
        <v>300</v>
      </c>
      <c r="F4" s="8">
        <v>100</v>
      </c>
      <c r="G4" s="8">
        <f t="shared" si="1"/>
        <v>200</v>
      </c>
      <c r="H4" s="6"/>
    </row>
    <row r="5" spans="1:8" ht="21.75" customHeight="1" x14ac:dyDescent="0.25">
      <c r="A5" s="11" t="s">
        <v>21</v>
      </c>
      <c r="B5" s="11" t="s">
        <v>58</v>
      </c>
      <c r="C5" s="12">
        <v>2500</v>
      </c>
      <c r="D5" s="13" t="s">
        <v>27</v>
      </c>
      <c r="E5" s="12">
        <f t="shared" si="0"/>
        <v>500</v>
      </c>
      <c r="F5" s="12">
        <v>150</v>
      </c>
      <c r="G5" s="12">
        <f t="shared" si="1"/>
        <v>350</v>
      </c>
      <c r="H5" s="11"/>
    </row>
    <row r="6" spans="1:8" ht="21.75" customHeight="1" x14ac:dyDescent="0.25">
      <c r="A6" s="6" t="s">
        <v>21</v>
      </c>
      <c r="B6" s="6" t="s">
        <v>62</v>
      </c>
      <c r="C6" s="8">
        <v>2200</v>
      </c>
      <c r="D6" s="9" t="s">
        <v>27</v>
      </c>
      <c r="E6" s="8">
        <f t="shared" si="0"/>
        <v>440</v>
      </c>
      <c r="F6" s="8">
        <v>150</v>
      </c>
      <c r="G6" s="8">
        <f t="shared" si="1"/>
        <v>290</v>
      </c>
      <c r="H6" s="6"/>
    </row>
    <row r="7" spans="1:8" ht="21.75" customHeight="1" x14ac:dyDescent="0.25">
      <c r="A7" s="11" t="s">
        <v>21</v>
      </c>
      <c r="B7" s="11" t="s">
        <v>66</v>
      </c>
      <c r="C7" s="12">
        <v>2200</v>
      </c>
      <c r="D7" s="13" t="s">
        <v>27</v>
      </c>
      <c r="E7" s="12">
        <f t="shared" si="0"/>
        <v>440</v>
      </c>
      <c r="F7" s="12">
        <v>150</v>
      </c>
      <c r="G7" s="12">
        <f t="shared" si="1"/>
        <v>290</v>
      </c>
      <c r="H7" s="11"/>
    </row>
    <row r="8" spans="1:8" ht="21.75" customHeight="1" x14ac:dyDescent="0.25">
      <c r="A8" s="6" t="s">
        <v>12</v>
      </c>
      <c r="B8" s="6" t="s">
        <v>70</v>
      </c>
      <c r="C8" s="8">
        <v>2200</v>
      </c>
      <c r="D8" s="9" t="s">
        <v>27</v>
      </c>
      <c r="E8" s="8">
        <f t="shared" si="0"/>
        <v>440</v>
      </c>
      <c r="F8" s="8">
        <v>150</v>
      </c>
      <c r="G8" s="8">
        <f t="shared" si="1"/>
        <v>290</v>
      </c>
      <c r="H8" s="6"/>
    </row>
    <row r="9" spans="1:8" ht="21.75" customHeight="1" x14ac:dyDescent="0.25">
      <c r="A9" s="11" t="s">
        <v>12</v>
      </c>
      <c r="B9" s="11" t="s">
        <v>74</v>
      </c>
      <c r="C9" s="12">
        <v>2500</v>
      </c>
      <c r="D9" s="13" t="s">
        <v>27</v>
      </c>
      <c r="E9" s="12">
        <f t="shared" si="0"/>
        <v>500</v>
      </c>
      <c r="F9" s="12">
        <v>150</v>
      </c>
      <c r="G9" s="12">
        <f t="shared" si="1"/>
        <v>350</v>
      </c>
      <c r="H9" s="11"/>
    </row>
    <row r="10" spans="1:8" ht="21.75" customHeight="1" x14ac:dyDescent="0.25">
      <c r="A10" s="6" t="s">
        <v>21</v>
      </c>
      <c r="B10" s="6" t="s">
        <v>77</v>
      </c>
      <c r="C10" s="8">
        <v>2000</v>
      </c>
      <c r="D10" s="9" t="s">
        <v>27</v>
      </c>
      <c r="E10" s="8">
        <f t="shared" si="0"/>
        <v>400</v>
      </c>
      <c r="F10" s="8">
        <v>100</v>
      </c>
      <c r="G10" s="8">
        <f t="shared" si="1"/>
        <v>300</v>
      </c>
      <c r="H10" s="6"/>
    </row>
    <row r="11" spans="1:8" ht="21.75" customHeight="1" x14ac:dyDescent="0.25">
      <c r="A11" s="11" t="s">
        <v>21</v>
      </c>
      <c r="B11" s="11" t="s">
        <v>81</v>
      </c>
      <c r="C11" s="12">
        <v>2200</v>
      </c>
      <c r="D11" s="13" t="s">
        <v>27</v>
      </c>
      <c r="E11" s="12">
        <f t="shared" si="0"/>
        <v>440</v>
      </c>
      <c r="F11" s="12">
        <v>150</v>
      </c>
      <c r="G11" s="12">
        <f t="shared" si="1"/>
        <v>290</v>
      </c>
      <c r="H11" s="11"/>
    </row>
    <row r="12" spans="1:8" ht="21.75" customHeight="1" x14ac:dyDescent="0.25">
      <c r="A12" s="6" t="s">
        <v>13</v>
      </c>
      <c r="B12" s="6" t="s">
        <v>84</v>
      </c>
      <c r="C12" s="8">
        <v>2000</v>
      </c>
      <c r="D12" s="9" t="s">
        <v>27</v>
      </c>
      <c r="E12" s="8">
        <f t="shared" si="0"/>
        <v>400</v>
      </c>
      <c r="F12" s="8">
        <v>100</v>
      </c>
      <c r="G12" s="8">
        <f t="shared" si="1"/>
        <v>300</v>
      </c>
      <c r="H12" s="6"/>
    </row>
    <row r="13" spans="1:8" ht="21.75" customHeight="1" x14ac:dyDescent="0.25">
      <c r="A13" s="11" t="s">
        <v>28</v>
      </c>
      <c r="B13" s="11" t="s">
        <v>88</v>
      </c>
      <c r="C13" s="12">
        <v>2200</v>
      </c>
      <c r="D13" s="13" t="s">
        <v>27</v>
      </c>
      <c r="E13" s="12">
        <f t="shared" si="0"/>
        <v>440</v>
      </c>
      <c r="F13" s="12">
        <v>100</v>
      </c>
      <c r="G13" s="12">
        <f t="shared" si="1"/>
        <v>340</v>
      </c>
      <c r="H13" s="11"/>
    </row>
    <row r="14" spans="1:8" ht="21.75" customHeight="1" x14ac:dyDescent="0.25">
      <c r="A14" s="6" t="s">
        <v>13</v>
      </c>
      <c r="B14" s="6" t="s">
        <v>92</v>
      </c>
      <c r="C14" s="8">
        <v>2500</v>
      </c>
      <c r="D14" s="9" t="s">
        <v>27</v>
      </c>
      <c r="E14" s="8">
        <f t="shared" si="0"/>
        <v>500</v>
      </c>
      <c r="F14" s="8">
        <v>150</v>
      </c>
      <c r="G14" s="8">
        <f t="shared" si="1"/>
        <v>350</v>
      </c>
      <c r="H14" s="6"/>
    </row>
    <row r="15" spans="1:8" ht="21.75" customHeight="1" x14ac:dyDescent="0.25">
      <c r="A15" s="11" t="s">
        <v>47</v>
      </c>
      <c r="B15" s="11" t="s">
        <v>95</v>
      </c>
      <c r="C15" s="12">
        <v>0</v>
      </c>
      <c r="D15" s="13" t="s">
        <v>96</v>
      </c>
      <c r="E15" s="12">
        <f t="shared" si="0"/>
        <v>0</v>
      </c>
      <c r="F15" s="12">
        <v>0</v>
      </c>
      <c r="G15" s="12">
        <f t="shared" si="1"/>
        <v>0</v>
      </c>
      <c r="H15" s="11"/>
    </row>
    <row r="16" spans="1:8" ht="21.75" customHeight="1" x14ac:dyDescent="0.25">
      <c r="A16" s="6" t="s">
        <v>47</v>
      </c>
      <c r="B16" s="6" t="s">
        <v>97</v>
      </c>
      <c r="C16" s="8">
        <v>0</v>
      </c>
      <c r="D16" s="9" t="s">
        <v>96</v>
      </c>
      <c r="E16" s="8">
        <f t="shared" si="0"/>
        <v>0</v>
      </c>
      <c r="F16" s="8">
        <v>0</v>
      </c>
      <c r="G16" s="8">
        <f t="shared" si="1"/>
        <v>0</v>
      </c>
      <c r="H16" s="6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/>
  </sheetViews>
  <sheetFormatPr defaultColWidth="14.42578125" defaultRowHeight="15" customHeight="1" x14ac:dyDescent="0.25"/>
  <cols>
    <col min="1" max="1" width="21" customWidth="1"/>
    <col min="2" max="2" width="40" customWidth="1"/>
    <col min="3" max="3" width="27" customWidth="1"/>
    <col min="4" max="4" width="18" customWidth="1"/>
    <col min="5" max="5" width="29" customWidth="1"/>
    <col min="6" max="6" width="31" customWidth="1"/>
    <col min="7" max="7" width="23" customWidth="1"/>
    <col min="8" max="8" width="34" customWidth="1"/>
  </cols>
  <sheetData>
    <row r="1" spans="1:8" ht="27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149</v>
      </c>
      <c r="F1" s="2" t="s">
        <v>5</v>
      </c>
      <c r="G1" s="2" t="s">
        <v>6</v>
      </c>
      <c r="H1" s="2" t="s">
        <v>7</v>
      </c>
    </row>
    <row r="2" spans="1:8" ht="21.75" customHeight="1" x14ac:dyDescent="0.25">
      <c r="A2" s="6" t="s">
        <v>21</v>
      </c>
      <c r="B2" s="6" t="s">
        <v>151</v>
      </c>
      <c r="C2" s="8">
        <v>3000</v>
      </c>
      <c r="D2" s="9" t="s">
        <v>152</v>
      </c>
      <c r="E2" s="8">
        <f t="shared" ref="E2:E16" si="0">C2*0.3</f>
        <v>900</v>
      </c>
      <c r="F2" s="8">
        <v>200</v>
      </c>
      <c r="G2" s="8">
        <f t="shared" ref="G2:G16" si="1">E2-F2</f>
        <v>700</v>
      </c>
      <c r="H2" s="6"/>
    </row>
    <row r="3" spans="1:8" ht="21.75" customHeight="1" x14ac:dyDescent="0.25">
      <c r="A3" s="11" t="s">
        <v>13</v>
      </c>
      <c r="B3" s="11" t="s">
        <v>157</v>
      </c>
      <c r="C3" s="12">
        <v>3500</v>
      </c>
      <c r="D3" s="13" t="s">
        <v>152</v>
      </c>
      <c r="E3" s="12">
        <f t="shared" si="0"/>
        <v>1050</v>
      </c>
      <c r="F3" s="12">
        <v>250</v>
      </c>
      <c r="G3" s="12">
        <f t="shared" si="1"/>
        <v>800</v>
      </c>
      <c r="H3" s="11"/>
    </row>
    <row r="4" spans="1:8" ht="21.75" customHeight="1" x14ac:dyDescent="0.25">
      <c r="A4" s="6" t="s">
        <v>21</v>
      </c>
      <c r="B4" s="6" t="s">
        <v>158</v>
      </c>
      <c r="C4" s="8">
        <v>8000</v>
      </c>
      <c r="D4" s="9" t="s">
        <v>152</v>
      </c>
      <c r="E4" s="8">
        <f t="shared" si="0"/>
        <v>2400</v>
      </c>
      <c r="F4" s="8">
        <v>600</v>
      </c>
      <c r="G4" s="8">
        <f t="shared" si="1"/>
        <v>1800</v>
      </c>
      <c r="H4" s="6"/>
    </row>
    <row r="5" spans="1:8" ht="21.75" customHeight="1" x14ac:dyDescent="0.25">
      <c r="A5" s="11" t="s">
        <v>21</v>
      </c>
      <c r="B5" s="11" t="s">
        <v>161</v>
      </c>
      <c r="C5" s="12">
        <v>6000</v>
      </c>
      <c r="D5" s="13" t="s">
        <v>152</v>
      </c>
      <c r="E5" s="12">
        <f t="shared" si="0"/>
        <v>1800</v>
      </c>
      <c r="F5" s="12">
        <v>500</v>
      </c>
      <c r="G5" s="12">
        <f t="shared" si="1"/>
        <v>1300</v>
      </c>
      <c r="H5" s="11"/>
    </row>
    <row r="6" spans="1:8" ht="21.75" customHeight="1" x14ac:dyDescent="0.25">
      <c r="A6" s="6" t="s">
        <v>21</v>
      </c>
      <c r="B6" s="6" t="s">
        <v>164</v>
      </c>
      <c r="C6" s="8">
        <v>5000</v>
      </c>
      <c r="D6" s="9" t="s">
        <v>152</v>
      </c>
      <c r="E6" s="8">
        <f t="shared" si="0"/>
        <v>1500</v>
      </c>
      <c r="F6" s="8">
        <v>400</v>
      </c>
      <c r="G6" s="8">
        <f t="shared" si="1"/>
        <v>1100</v>
      </c>
      <c r="H6" s="6"/>
    </row>
    <row r="7" spans="1:8" ht="21.75" customHeight="1" x14ac:dyDescent="0.25">
      <c r="A7" s="11" t="s">
        <v>12</v>
      </c>
      <c r="B7" s="11" t="s">
        <v>168</v>
      </c>
      <c r="C7" s="12">
        <v>3500</v>
      </c>
      <c r="D7" s="13" t="s">
        <v>152</v>
      </c>
      <c r="E7" s="12">
        <f t="shared" si="0"/>
        <v>1050</v>
      </c>
      <c r="F7" s="12">
        <v>250</v>
      </c>
      <c r="G7" s="12">
        <f t="shared" si="1"/>
        <v>800</v>
      </c>
      <c r="H7" s="11"/>
    </row>
    <row r="8" spans="1:8" ht="21.75" customHeight="1" x14ac:dyDescent="0.25">
      <c r="A8" s="6" t="s">
        <v>21</v>
      </c>
      <c r="B8" s="6" t="s">
        <v>171</v>
      </c>
      <c r="C8" s="8">
        <v>6000</v>
      </c>
      <c r="D8" s="9" t="s">
        <v>152</v>
      </c>
      <c r="E8" s="8">
        <f t="shared" si="0"/>
        <v>1800</v>
      </c>
      <c r="F8" s="8">
        <v>500</v>
      </c>
      <c r="G8" s="8">
        <f t="shared" si="1"/>
        <v>1300</v>
      </c>
      <c r="H8" s="6"/>
    </row>
    <row r="9" spans="1:8" ht="21.75" customHeight="1" x14ac:dyDescent="0.25">
      <c r="A9" s="11" t="s">
        <v>21</v>
      </c>
      <c r="B9" s="11" t="s">
        <v>174</v>
      </c>
      <c r="C9" s="12">
        <v>8000</v>
      </c>
      <c r="D9" s="13" t="s">
        <v>152</v>
      </c>
      <c r="E9" s="12">
        <f t="shared" si="0"/>
        <v>2400</v>
      </c>
      <c r="F9" s="12">
        <v>600</v>
      </c>
      <c r="G9" s="12">
        <f t="shared" si="1"/>
        <v>1800</v>
      </c>
      <c r="H9" s="11"/>
    </row>
    <row r="10" spans="1:8" ht="21.75" customHeight="1" x14ac:dyDescent="0.25">
      <c r="A10" s="6" t="s">
        <v>21</v>
      </c>
      <c r="B10" s="6" t="s">
        <v>179</v>
      </c>
      <c r="C10" s="8">
        <v>5000</v>
      </c>
      <c r="D10" s="9" t="s">
        <v>152</v>
      </c>
      <c r="E10" s="8">
        <f t="shared" si="0"/>
        <v>1500</v>
      </c>
      <c r="F10" s="8">
        <v>400</v>
      </c>
      <c r="G10" s="8">
        <f t="shared" si="1"/>
        <v>1100</v>
      </c>
      <c r="H10" s="6"/>
    </row>
    <row r="11" spans="1:8" ht="21.75" customHeight="1" x14ac:dyDescent="0.25">
      <c r="A11" s="11" t="s">
        <v>182</v>
      </c>
      <c r="B11" s="11" t="s">
        <v>183</v>
      </c>
      <c r="C11" s="12">
        <v>1200</v>
      </c>
      <c r="D11" s="13" t="s">
        <v>152</v>
      </c>
      <c r="E11" s="12">
        <f t="shared" si="0"/>
        <v>360</v>
      </c>
      <c r="F11" s="12">
        <v>100</v>
      </c>
      <c r="G11" s="12">
        <f t="shared" si="1"/>
        <v>260</v>
      </c>
      <c r="H11" s="11"/>
    </row>
    <row r="12" spans="1:8" ht="21.75" customHeight="1" x14ac:dyDescent="0.25">
      <c r="A12" s="6" t="s">
        <v>28</v>
      </c>
      <c r="B12" s="6" t="s">
        <v>187</v>
      </c>
      <c r="C12" s="8">
        <v>1500</v>
      </c>
      <c r="D12" s="9" t="s">
        <v>152</v>
      </c>
      <c r="E12" s="8">
        <f t="shared" si="0"/>
        <v>450</v>
      </c>
      <c r="F12" s="8">
        <v>100</v>
      </c>
      <c r="G12" s="8">
        <f t="shared" si="1"/>
        <v>350</v>
      </c>
      <c r="H12" s="6"/>
    </row>
    <row r="13" spans="1:8" ht="21.75" customHeight="1" x14ac:dyDescent="0.25">
      <c r="A13" s="11" t="s">
        <v>21</v>
      </c>
      <c r="B13" s="11" t="s">
        <v>190</v>
      </c>
      <c r="C13" s="12">
        <v>1500</v>
      </c>
      <c r="D13" s="13" t="s">
        <v>152</v>
      </c>
      <c r="E13" s="12">
        <f t="shared" si="0"/>
        <v>450</v>
      </c>
      <c r="F13" s="12">
        <v>100</v>
      </c>
      <c r="G13" s="12">
        <f t="shared" si="1"/>
        <v>350</v>
      </c>
      <c r="H13" s="11"/>
    </row>
    <row r="14" spans="1:8" ht="21.75" customHeight="1" x14ac:dyDescent="0.25">
      <c r="A14" s="6" t="s">
        <v>13</v>
      </c>
      <c r="B14" s="6" t="s">
        <v>192</v>
      </c>
      <c r="C14" s="8">
        <v>2000</v>
      </c>
      <c r="D14" s="9" t="s">
        <v>152</v>
      </c>
      <c r="E14" s="8">
        <f t="shared" si="0"/>
        <v>600</v>
      </c>
      <c r="F14" s="8">
        <v>150</v>
      </c>
      <c r="G14" s="8">
        <f t="shared" si="1"/>
        <v>450</v>
      </c>
      <c r="H14" s="6"/>
    </row>
    <row r="15" spans="1:8" ht="21.75" customHeight="1" x14ac:dyDescent="0.25">
      <c r="A15" s="11" t="s">
        <v>12</v>
      </c>
      <c r="B15" s="11" t="s">
        <v>196</v>
      </c>
      <c r="C15" s="12">
        <v>5000</v>
      </c>
      <c r="D15" s="13" t="s">
        <v>152</v>
      </c>
      <c r="E15" s="12">
        <f t="shared" si="0"/>
        <v>1500</v>
      </c>
      <c r="F15" s="12">
        <v>400</v>
      </c>
      <c r="G15" s="12">
        <f t="shared" si="1"/>
        <v>1100</v>
      </c>
      <c r="H15" s="11"/>
    </row>
    <row r="16" spans="1:8" ht="21.75" customHeight="1" x14ac:dyDescent="0.25">
      <c r="A16" s="6" t="s">
        <v>21</v>
      </c>
      <c r="B16" s="6" t="s">
        <v>199</v>
      </c>
      <c r="C16" s="8">
        <v>8000</v>
      </c>
      <c r="D16" s="9" t="s">
        <v>152</v>
      </c>
      <c r="E16" s="8">
        <f t="shared" si="0"/>
        <v>2400</v>
      </c>
      <c r="F16" s="8">
        <v>600</v>
      </c>
      <c r="G16" s="8">
        <f t="shared" si="1"/>
        <v>1800</v>
      </c>
      <c r="H16" s="6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workbookViewId="0"/>
  </sheetViews>
  <sheetFormatPr defaultColWidth="14.42578125" defaultRowHeight="15" customHeight="1" x14ac:dyDescent="0.25"/>
  <cols>
    <col min="1" max="1" width="15" customWidth="1"/>
    <col min="2" max="2" width="39" customWidth="1"/>
    <col min="3" max="3" width="27" customWidth="1"/>
    <col min="4" max="4" width="17" customWidth="1"/>
    <col min="5" max="5" width="29" customWidth="1"/>
    <col min="6" max="6" width="31" customWidth="1"/>
    <col min="7" max="7" width="23" customWidth="1"/>
    <col min="8" max="8" width="34" customWidth="1"/>
  </cols>
  <sheetData>
    <row r="1" spans="1:8" ht="27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5</v>
      </c>
      <c r="G1" s="2" t="s">
        <v>6</v>
      </c>
      <c r="H1" s="2" t="s">
        <v>7</v>
      </c>
    </row>
    <row r="2" spans="1:8" ht="21.75" customHeight="1" x14ac:dyDescent="0.25">
      <c r="A2" s="6" t="s">
        <v>155</v>
      </c>
      <c r="B2" s="6" t="s">
        <v>156</v>
      </c>
      <c r="C2" s="8">
        <v>3500</v>
      </c>
      <c r="D2" s="9" t="s">
        <v>27</v>
      </c>
      <c r="E2" s="8">
        <f t="shared" ref="E2:E16" si="0">C2*0.2</f>
        <v>700</v>
      </c>
      <c r="F2" s="8">
        <v>200</v>
      </c>
      <c r="G2" s="8">
        <f t="shared" ref="G2:G16" si="1">E2-F2</f>
        <v>500</v>
      </c>
      <c r="H2" s="6"/>
    </row>
    <row r="3" spans="1:8" ht="21.75" customHeight="1" x14ac:dyDescent="0.25">
      <c r="A3" s="11" t="s">
        <v>155</v>
      </c>
      <c r="B3" s="11" t="s">
        <v>159</v>
      </c>
      <c r="C3" s="12">
        <v>4500</v>
      </c>
      <c r="D3" s="13" t="s">
        <v>27</v>
      </c>
      <c r="E3" s="12">
        <f t="shared" si="0"/>
        <v>900</v>
      </c>
      <c r="F3" s="12">
        <v>250</v>
      </c>
      <c r="G3" s="12">
        <f t="shared" si="1"/>
        <v>650</v>
      </c>
      <c r="H3" s="11"/>
    </row>
    <row r="4" spans="1:8" ht="21.75" customHeight="1" x14ac:dyDescent="0.25">
      <c r="A4" s="6" t="s">
        <v>155</v>
      </c>
      <c r="B4" s="6" t="s">
        <v>160</v>
      </c>
      <c r="C4" s="8">
        <v>4000</v>
      </c>
      <c r="D4" s="9" t="s">
        <v>27</v>
      </c>
      <c r="E4" s="8">
        <f t="shared" si="0"/>
        <v>800</v>
      </c>
      <c r="F4" s="8">
        <v>250</v>
      </c>
      <c r="G4" s="8">
        <f t="shared" si="1"/>
        <v>550</v>
      </c>
      <c r="H4" s="6"/>
    </row>
    <row r="5" spans="1:8" ht="21.75" customHeight="1" x14ac:dyDescent="0.25">
      <c r="A5" s="11" t="s">
        <v>162</v>
      </c>
      <c r="B5" s="11" t="s">
        <v>163</v>
      </c>
      <c r="C5" s="12">
        <v>3500</v>
      </c>
      <c r="D5" s="13" t="s">
        <v>27</v>
      </c>
      <c r="E5" s="12">
        <f t="shared" si="0"/>
        <v>700</v>
      </c>
      <c r="F5" s="12">
        <v>200</v>
      </c>
      <c r="G5" s="12">
        <f t="shared" si="1"/>
        <v>500</v>
      </c>
      <c r="H5" s="11"/>
    </row>
    <row r="6" spans="1:8" ht="21.75" customHeight="1" x14ac:dyDescent="0.25">
      <c r="A6" s="6" t="s">
        <v>162</v>
      </c>
      <c r="B6" s="6" t="s">
        <v>166</v>
      </c>
      <c r="C6" s="8">
        <v>1200</v>
      </c>
      <c r="D6" s="9" t="s">
        <v>27</v>
      </c>
      <c r="E6" s="8">
        <f t="shared" si="0"/>
        <v>240</v>
      </c>
      <c r="F6" s="8">
        <v>100</v>
      </c>
      <c r="G6" s="8">
        <f t="shared" si="1"/>
        <v>140</v>
      </c>
      <c r="H6" s="6"/>
    </row>
    <row r="7" spans="1:8" ht="21.75" customHeight="1" x14ac:dyDescent="0.25">
      <c r="A7" s="11" t="s">
        <v>155</v>
      </c>
      <c r="B7" s="11" t="s">
        <v>169</v>
      </c>
      <c r="C7" s="12">
        <v>1500</v>
      </c>
      <c r="D7" s="13" t="s">
        <v>27</v>
      </c>
      <c r="E7" s="12">
        <f t="shared" si="0"/>
        <v>300</v>
      </c>
      <c r="F7" s="12">
        <v>100</v>
      </c>
      <c r="G7" s="12">
        <f t="shared" si="1"/>
        <v>200</v>
      </c>
      <c r="H7" s="11"/>
    </row>
    <row r="8" spans="1:8" ht="21.75" customHeight="1" x14ac:dyDescent="0.25">
      <c r="A8" s="6" t="s">
        <v>155</v>
      </c>
      <c r="B8" s="6" t="s">
        <v>172</v>
      </c>
      <c r="C8" s="8">
        <v>1500</v>
      </c>
      <c r="D8" s="9" t="s">
        <v>27</v>
      </c>
      <c r="E8" s="8">
        <f t="shared" si="0"/>
        <v>300</v>
      </c>
      <c r="F8" s="8">
        <v>100</v>
      </c>
      <c r="G8" s="8">
        <f t="shared" si="1"/>
        <v>200</v>
      </c>
      <c r="H8" s="6"/>
    </row>
    <row r="9" spans="1:8" ht="21.75" customHeight="1" x14ac:dyDescent="0.25">
      <c r="A9" s="11" t="s">
        <v>155</v>
      </c>
      <c r="B9" s="11" t="s">
        <v>177</v>
      </c>
      <c r="C9" s="12">
        <v>1800</v>
      </c>
      <c r="D9" s="13" t="s">
        <v>27</v>
      </c>
      <c r="E9" s="12">
        <f t="shared" si="0"/>
        <v>360</v>
      </c>
      <c r="F9" s="12">
        <v>100</v>
      </c>
      <c r="G9" s="12">
        <f t="shared" si="1"/>
        <v>260</v>
      </c>
      <c r="H9" s="11"/>
    </row>
    <row r="10" spans="1:8" ht="21.75" customHeight="1" x14ac:dyDescent="0.25">
      <c r="A10" s="6" t="s">
        <v>155</v>
      </c>
      <c r="B10" s="6" t="s">
        <v>180</v>
      </c>
      <c r="C10" s="8">
        <v>1800</v>
      </c>
      <c r="D10" s="9" t="s">
        <v>27</v>
      </c>
      <c r="E10" s="8">
        <f t="shared" si="0"/>
        <v>360</v>
      </c>
      <c r="F10" s="8">
        <v>100</v>
      </c>
      <c r="G10" s="8">
        <f t="shared" si="1"/>
        <v>260</v>
      </c>
      <c r="H10" s="6"/>
    </row>
    <row r="11" spans="1:8" ht="21.75" customHeight="1" x14ac:dyDescent="0.25">
      <c r="A11" s="11" t="s">
        <v>155</v>
      </c>
      <c r="B11" s="11" t="s">
        <v>181</v>
      </c>
      <c r="C11" s="12">
        <v>1800</v>
      </c>
      <c r="D11" s="13" t="s">
        <v>27</v>
      </c>
      <c r="E11" s="12">
        <f t="shared" si="0"/>
        <v>360</v>
      </c>
      <c r="F11" s="12">
        <v>100</v>
      </c>
      <c r="G11" s="12">
        <f t="shared" si="1"/>
        <v>260</v>
      </c>
      <c r="H11" s="11"/>
    </row>
    <row r="12" spans="1:8" ht="21.75" customHeight="1" x14ac:dyDescent="0.25">
      <c r="A12" s="6" t="s">
        <v>155</v>
      </c>
      <c r="B12" s="6" t="s">
        <v>184</v>
      </c>
      <c r="C12" s="8">
        <v>3000</v>
      </c>
      <c r="D12" s="9" t="s">
        <v>27</v>
      </c>
      <c r="E12" s="8">
        <f t="shared" si="0"/>
        <v>600</v>
      </c>
      <c r="F12" s="8">
        <v>150</v>
      </c>
      <c r="G12" s="8">
        <f t="shared" si="1"/>
        <v>450</v>
      </c>
      <c r="H12" s="6"/>
    </row>
    <row r="13" spans="1:8" ht="21.75" customHeight="1" x14ac:dyDescent="0.25">
      <c r="A13" s="11" t="s">
        <v>155</v>
      </c>
      <c r="B13" s="11" t="s">
        <v>188</v>
      </c>
      <c r="C13" s="12">
        <v>3000</v>
      </c>
      <c r="D13" s="13" t="s">
        <v>27</v>
      </c>
      <c r="E13" s="12">
        <f t="shared" si="0"/>
        <v>600</v>
      </c>
      <c r="F13" s="12">
        <v>150</v>
      </c>
      <c r="G13" s="12">
        <f t="shared" si="1"/>
        <v>450</v>
      </c>
      <c r="H13" s="11"/>
    </row>
    <row r="14" spans="1:8" ht="21.75" customHeight="1" x14ac:dyDescent="0.25">
      <c r="A14" s="6" t="s">
        <v>23</v>
      </c>
      <c r="B14" s="6" t="s">
        <v>191</v>
      </c>
      <c r="C14" s="8">
        <v>2500</v>
      </c>
      <c r="D14" s="9" t="s">
        <v>27</v>
      </c>
      <c r="E14" s="8">
        <f t="shared" si="0"/>
        <v>500</v>
      </c>
      <c r="F14" s="8">
        <v>150</v>
      </c>
      <c r="G14" s="8">
        <f t="shared" si="1"/>
        <v>350</v>
      </c>
      <c r="H14" s="6"/>
    </row>
    <row r="15" spans="1:8" ht="21.75" customHeight="1" x14ac:dyDescent="0.25">
      <c r="A15" s="11" t="s">
        <v>47</v>
      </c>
      <c r="B15" s="11" t="s">
        <v>193</v>
      </c>
      <c r="C15" s="12">
        <v>1200</v>
      </c>
      <c r="D15" s="13" t="s">
        <v>27</v>
      </c>
      <c r="E15" s="12">
        <f t="shared" si="0"/>
        <v>240</v>
      </c>
      <c r="F15" s="12">
        <v>100</v>
      </c>
      <c r="G15" s="12">
        <f t="shared" si="1"/>
        <v>140</v>
      </c>
      <c r="H15" s="11"/>
    </row>
    <row r="16" spans="1:8" ht="21.75" customHeight="1" x14ac:dyDescent="0.25">
      <c r="A16" s="6" t="s">
        <v>155</v>
      </c>
      <c r="B16" s="6" t="s">
        <v>197</v>
      </c>
      <c r="C16" s="8">
        <v>1500</v>
      </c>
      <c r="D16" s="9" t="s">
        <v>27</v>
      </c>
      <c r="E16" s="8">
        <f t="shared" si="0"/>
        <v>300</v>
      </c>
      <c r="F16" s="8">
        <v>100</v>
      </c>
      <c r="G16" s="8">
        <f t="shared" si="1"/>
        <v>200</v>
      </c>
      <c r="H16" s="6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10MS Course Directory</vt:lpstr>
      <vt:lpstr>Learning Bangladesh Directory</vt:lpstr>
      <vt:lpstr>MSB Academy Directory</vt:lpstr>
      <vt:lpstr>Bohubrihi Directory</vt:lpstr>
      <vt:lpstr>Ostad Directory</vt:lpstr>
      <vt:lpstr>Shikho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2026-09-24T04:31:20Z</cp:lastPrinted>
  <dcterms:created xsi:type="dcterms:W3CDTF">2026-07-17T14:44:53Z</dcterms:created>
  <dcterms:modified xsi:type="dcterms:W3CDTF">2026-09-24T04:37:34Z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2026-07-17T15:06:14Z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bbbcc80f-0eae-46e0-9544-5bef73a227af</vt:lpwstr>
  </property>
  <property fmtid="{D5CDD505-2E9C-101B-9397-08002B2CF9AE}" pid="7" name="MSIP_Label_defa4170-0d19-0005-0004-bc88714345d2_ActionId">
    <vt:lpwstr>2a634d06-b461-4fd2-a757-84e53a78fbad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